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laude_Code_workspaces\mehir-matara\"/>
    </mc:Choice>
  </mc:AlternateContent>
  <xr:revisionPtr revIDLastSave="0" documentId="8_{F3896693-FFF4-4628-BED7-79F893248BC6}" xr6:coauthVersionLast="47" xr6:coauthVersionMax="47" xr10:uidLastSave="{00000000-0000-0000-0000-000000000000}"/>
  <bookViews>
    <workbookView xWindow="-28920" yWindow="660" windowWidth="29040" windowHeight="15720" tabRatio="500" activeTab="2" xr2:uid="{00000000-000D-0000-FFFF-FFFF00000000}"/>
  </bookViews>
  <sheets>
    <sheet name="נתונים" sheetId="1" r:id="rId1"/>
    <sheet name="לוח_סילוקין" sheetId="2" r:id="rId2"/>
    <sheet name="השוואה_חודשית" sheetId="3" r:id="rId3"/>
    <sheet name="דשבורד"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1" l="1"/>
  <c r="I71" i="3" s="1"/>
  <c r="B45" i="1"/>
  <c r="F2" i="3"/>
  <c r="F13" i="3"/>
  <c r="B11" i="1"/>
  <c r="B12" i="1" s="1"/>
  <c r="F5" i="3"/>
  <c r="F6" i="3"/>
  <c r="F7" i="3"/>
  <c r="F8" i="3"/>
  <c r="F9" i="3"/>
  <c r="F10" i="3"/>
  <c r="F11" i="3"/>
  <c r="F12"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3" i="3"/>
  <c r="F4" i="3"/>
  <c r="B85" i="3"/>
  <c r="H85" i="3" s="1"/>
  <c r="B84" i="3"/>
  <c r="B83" i="3"/>
  <c r="H83" i="3" s="1"/>
  <c r="B82" i="3"/>
  <c r="B81" i="3"/>
  <c r="H81" i="3" s="1"/>
  <c r="B80" i="3"/>
  <c r="B79" i="3"/>
  <c r="H79" i="3" s="1"/>
  <c r="B78" i="3"/>
  <c r="H78" i="3" s="1"/>
  <c r="B77" i="3"/>
  <c r="H77" i="3" s="1"/>
  <c r="B76" i="3"/>
  <c r="B75" i="3"/>
  <c r="H75" i="3" s="1"/>
  <c r="B74" i="3"/>
  <c r="H74" i="3" s="1"/>
  <c r="B73" i="3"/>
  <c r="H73" i="3" s="1"/>
  <c r="B72" i="3"/>
  <c r="H72" i="3" s="1"/>
  <c r="B71" i="3"/>
  <c r="H71" i="3" s="1"/>
  <c r="B70" i="3"/>
  <c r="H70" i="3" s="1"/>
  <c r="B69" i="3"/>
  <c r="H69" i="3" s="1"/>
  <c r="B68" i="3"/>
  <c r="H68" i="3" s="1"/>
  <c r="B67" i="3"/>
  <c r="B66" i="3"/>
  <c r="H66" i="3" s="1"/>
  <c r="B65" i="3"/>
  <c r="H65" i="3" s="1"/>
  <c r="B64" i="3"/>
  <c r="B63" i="3"/>
  <c r="H63" i="3" s="1"/>
  <c r="B62" i="3"/>
  <c r="H62" i="3" s="1"/>
  <c r="B61" i="3"/>
  <c r="H61" i="3" s="1"/>
  <c r="B60" i="3"/>
  <c r="H60" i="3" s="1"/>
  <c r="B59" i="3"/>
  <c r="H59" i="3" s="1"/>
  <c r="B58" i="3"/>
  <c r="H58" i="3" s="1"/>
  <c r="B57" i="3"/>
  <c r="H57" i="3" s="1"/>
  <c r="B56" i="3"/>
  <c r="B55" i="3"/>
  <c r="B54" i="3"/>
  <c r="H54" i="3" s="1"/>
  <c r="B53" i="3"/>
  <c r="H53" i="3" s="1"/>
  <c r="B52" i="3"/>
  <c r="H52" i="3" s="1"/>
  <c r="B51" i="3"/>
  <c r="H51" i="3" s="1"/>
  <c r="B50" i="3"/>
  <c r="H50" i="3" s="1"/>
  <c r="B49" i="3"/>
  <c r="B48" i="3"/>
  <c r="H48" i="3" s="1"/>
  <c r="B47" i="3"/>
  <c r="H47" i="3" s="1"/>
  <c r="B46" i="3"/>
  <c r="B45" i="3"/>
  <c r="B44" i="3"/>
  <c r="H44" i="3" s="1"/>
  <c r="B43" i="3"/>
  <c r="H43" i="3" s="1"/>
  <c r="B42" i="3"/>
  <c r="H42" i="3" s="1"/>
  <c r="B41" i="3"/>
  <c r="B40" i="3"/>
  <c r="B39" i="3"/>
  <c r="H39" i="3" s="1"/>
  <c r="B38" i="3"/>
  <c r="H38" i="3" s="1"/>
  <c r="B37" i="3"/>
  <c r="H37" i="3" s="1"/>
  <c r="B36" i="3"/>
  <c r="H36" i="3" s="1"/>
  <c r="B35" i="3"/>
  <c r="B34" i="3"/>
  <c r="H34" i="3" s="1"/>
  <c r="B33" i="3"/>
  <c r="H33" i="3" s="1"/>
  <c r="B32" i="3"/>
  <c r="H32" i="3" s="1"/>
  <c r="B31" i="3"/>
  <c r="B30" i="3"/>
  <c r="H30" i="3" s="1"/>
  <c r="B29" i="3"/>
  <c r="H29" i="3" s="1"/>
  <c r="B28" i="3"/>
  <c r="B27" i="3"/>
  <c r="H27" i="3" s="1"/>
  <c r="B26" i="3"/>
  <c r="B25" i="3"/>
  <c r="B24" i="3"/>
  <c r="H24" i="3" s="1"/>
  <c r="B23" i="3"/>
  <c r="H23" i="3" s="1"/>
  <c r="B22" i="3"/>
  <c r="H22" i="3" s="1"/>
  <c r="B21" i="3"/>
  <c r="B20" i="3"/>
  <c r="B19" i="3"/>
  <c r="H19" i="3" s="1"/>
  <c r="B18" i="3"/>
  <c r="H18" i="3" s="1"/>
  <c r="B17" i="3"/>
  <c r="B16" i="3"/>
  <c r="H16" i="3" s="1"/>
  <c r="B15" i="3"/>
  <c r="H15" i="3" s="1"/>
  <c r="B14" i="3"/>
  <c r="H14" i="3" s="1"/>
  <c r="B13" i="3"/>
  <c r="H13" i="3" s="1"/>
  <c r="B12" i="3"/>
  <c r="H12" i="3" s="1"/>
  <c r="B11" i="3"/>
  <c r="B10" i="3"/>
  <c r="H10" i="3" s="1"/>
  <c r="B9" i="3"/>
  <c r="H9" i="3" s="1"/>
  <c r="B8" i="3"/>
  <c r="B7" i="3"/>
  <c r="H7" i="3" s="1"/>
  <c r="B6" i="3"/>
  <c r="H6" i="3" s="1"/>
  <c r="B5" i="3"/>
  <c r="H5" i="3" s="1"/>
  <c r="B4" i="3"/>
  <c r="B3" i="3"/>
  <c r="B2" i="3"/>
  <c r="H2" i="3" s="1"/>
  <c r="B44" i="1"/>
  <c r="B27" i="1"/>
  <c r="D2" i="3" s="1"/>
  <c r="B21" i="1"/>
  <c r="I55" i="3" l="1"/>
  <c r="I66" i="3"/>
  <c r="K66" i="3"/>
  <c r="I30" i="3"/>
  <c r="I42" i="3"/>
  <c r="K42" i="3" s="1"/>
  <c r="I6" i="3"/>
  <c r="K6" i="3" s="1"/>
  <c r="K30" i="3"/>
  <c r="I18" i="3"/>
  <c r="K18" i="3" s="1"/>
  <c r="K78" i="3"/>
  <c r="I82" i="3"/>
  <c r="I56" i="3"/>
  <c r="I62" i="3"/>
  <c r="K62" i="3" s="1"/>
  <c r="I77" i="3"/>
  <c r="K77" i="3" s="1"/>
  <c r="H82" i="3"/>
  <c r="I19" i="3"/>
  <c r="K19" i="3" s="1"/>
  <c r="I67" i="3"/>
  <c r="I14" i="3"/>
  <c r="K14" i="3" s="1"/>
  <c r="I8" i="3"/>
  <c r="I27" i="3"/>
  <c r="K27" i="3" s="1"/>
  <c r="I32" i="3"/>
  <c r="K32" i="3" s="1"/>
  <c r="I38" i="3"/>
  <c r="K38" i="3" s="1"/>
  <c r="I52" i="3"/>
  <c r="K52" i="3" s="1"/>
  <c r="I58" i="3"/>
  <c r="K58" i="3" s="1"/>
  <c r="I68" i="3"/>
  <c r="K68" i="3" s="1"/>
  <c r="I73" i="3"/>
  <c r="K73" i="3" s="1"/>
  <c r="I37" i="3"/>
  <c r="K37" i="3" s="1"/>
  <c r="I44" i="3"/>
  <c r="K44" i="3" s="1"/>
  <c r="I63" i="3"/>
  <c r="K63" i="3" s="1"/>
  <c r="I78" i="3"/>
  <c r="I84" i="3"/>
  <c r="I31" i="3"/>
  <c r="I22" i="3"/>
  <c r="K22" i="3" s="1"/>
  <c r="I59" i="3"/>
  <c r="K59" i="3" s="1"/>
  <c r="I69" i="3"/>
  <c r="K69" i="3" s="1"/>
  <c r="K74" i="3"/>
  <c r="H84" i="3"/>
  <c r="I9" i="3"/>
  <c r="K9" i="3" s="1"/>
  <c r="I34" i="3"/>
  <c r="I39" i="3"/>
  <c r="I46" i="3"/>
  <c r="I74" i="3"/>
  <c r="I4" i="3"/>
  <c r="I33" i="3"/>
  <c r="K33" i="3" s="1"/>
  <c r="I16" i="3"/>
  <c r="K16" i="3" s="1"/>
  <c r="K34" i="3"/>
  <c r="I40" i="3"/>
  <c r="I53" i="3"/>
  <c r="K53" i="3" s="1"/>
  <c r="I60" i="3"/>
  <c r="K60" i="3" s="1"/>
  <c r="I79" i="3"/>
  <c r="K79" i="3" s="1"/>
  <c r="I85" i="3"/>
  <c r="K85" i="3" s="1"/>
  <c r="I43" i="3"/>
  <c r="K43" i="3" s="1"/>
  <c r="I72" i="3"/>
  <c r="K72" i="3" s="1"/>
  <c r="I28" i="3"/>
  <c r="K39" i="3"/>
  <c r="I5" i="3"/>
  <c r="K5" i="3" s="1"/>
  <c r="I23" i="3"/>
  <c r="K23" i="3" s="1"/>
  <c r="I29" i="3"/>
  <c r="K29" i="3" s="1"/>
  <c r="I35" i="3"/>
  <c r="I41" i="3"/>
  <c r="I65" i="3"/>
  <c r="K65" i="3" s="1"/>
  <c r="I70" i="3"/>
  <c r="K70" i="3" s="1"/>
  <c r="I80" i="3"/>
  <c r="I83" i="3"/>
  <c r="K83" i="3" s="1"/>
  <c r="I10" i="3"/>
  <c r="K10" i="3" s="1"/>
  <c r="I49" i="3"/>
  <c r="K71" i="3"/>
  <c r="I75" i="3"/>
  <c r="K75" i="3" s="1"/>
  <c r="H80" i="3"/>
  <c r="K80" i="3" s="1"/>
  <c r="N3" i="3"/>
  <c r="O3" i="3" s="1"/>
  <c r="I2" i="3"/>
  <c r="K2" i="3" s="1"/>
  <c r="I7" i="3"/>
  <c r="K7" i="3" s="1"/>
  <c r="I51" i="3"/>
  <c r="K51" i="3" s="1"/>
  <c r="I15" i="3"/>
  <c r="K15" i="3" s="1"/>
  <c r="H28" i="3"/>
  <c r="I24" i="3"/>
  <c r="K24" i="3" s="1"/>
  <c r="I50" i="3"/>
  <c r="K50" i="3" s="1"/>
  <c r="I54" i="3"/>
  <c r="K54" i="3" s="1"/>
  <c r="I61" i="3"/>
  <c r="K61" i="3" s="1"/>
  <c r="I76" i="3"/>
  <c r="I81" i="3"/>
  <c r="K81" i="3" s="1"/>
  <c r="B2" i="2"/>
  <c r="D2" i="2" s="1"/>
  <c r="B43" i="1"/>
  <c r="C294" i="2" s="1"/>
  <c r="C103" i="2"/>
  <c r="N84" i="3"/>
  <c r="O84" i="3" s="1"/>
  <c r="N34" i="3"/>
  <c r="O34" i="3" s="1"/>
  <c r="N45" i="3"/>
  <c r="O45" i="3" s="1"/>
  <c r="N43" i="3"/>
  <c r="O43" i="3" s="1"/>
  <c r="N70" i="3"/>
  <c r="O70" i="3" s="1"/>
  <c r="N69" i="3"/>
  <c r="O69" i="3" s="1"/>
  <c r="N60" i="3"/>
  <c r="O60" i="3" s="1"/>
  <c r="N37" i="3"/>
  <c r="O37" i="3" s="1"/>
  <c r="N68" i="3"/>
  <c r="O68" i="3" s="1"/>
  <c r="N67" i="3"/>
  <c r="O67" i="3" s="1"/>
  <c r="N59" i="3"/>
  <c r="O59" i="3" s="1"/>
  <c r="N58" i="3"/>
  <c r="O58" i="3" s="1"/>
  <c r="N50" i="3"/>
  <c r="O50" i="3" s="1"/>
  <c r="N41" i="3"/>
  <c r="O41" i="3" s="1"/>
  <c r="N36" i="3"/>
  <c r="O36" i="3" s="1"/>
  <c r="N57" i="3"/>
  <c r="O57" i="3" s="1"/>
  <c r="N49" i="3"/>
  <c r="O49" i="3" s="1"/>
  <c r="N48" i="3"/>
  <c r="O48" i="3" s="1"/>
  <c r="N11" i="3"/>
  <c r="O11" i="3" s="1"/>
  <c r="N46" i="3"/>
  <c r="O46" i="3" s="1"/>
  <c r="N22" i="3"/>
  <c r="O22" i="3" s="1"/>
  <c r="N21" i="3"/>
  <c r="O21" i="3" s="1"/>
  <c r="N31" i="3"/>
  <c r="O31" i="3" s="1"/>
  <c r="N10" i="3"/>
  <c r="O10" i="3" s="1"/>
  <c r="N56" i="3"/>
  <c r="O56" i="3" s="1"/>
  <c r="N40" i="3"/>
  <c r="O40" i="3" s="1"/>
  <c r="N35" i="3"/>
  <c r="O35" i="3" s="1"/>
  <c r="N9" i="3"/>
  <c r="O9" i="3" s="1"/>
  <c r="N5" i="3"/>
  <c r="O5" i="3" s="1"/>
  <c r="N15" i="3"/>
  <c r="O15" i="3" s="1"/>
  <c r="N32" i="3"/>
  <c r="O32" i="3" s="1"/>
  <c r="N14" i="3"/>
  <c r="O14" i="3" s="1"/>
  <c r="N13" i="3"/>
  <c r="O13" i="3" s="1"/>
  <c r="N8" i="3"/>
  <c r="O8" i="3" s="1"/>
  <c r="N76" i="3"/>
  <c r="O76" i="3" s="1"/>
  <c r="N55" i="3"/>
  <c r="O55" i="3" s="1"/>
  <c r="N4" i="3"/>
  <c r="O4" i="3" s="1"/>
  <c r="N47" i="3"/>
  <c r="O47" i="3" s="1"/>
  <c r="N26" i="3"/>
  <c r="O26" i="3" s="1"/>
  <c r="B22" i="1"/>
  <c r="D79" i="3"/>
  <c r="D67" i="3"/>
  <c r="D55" i="3"/>
  <c r="D43" i="3"/>
  <c r="D81" i="3"/>
  <c r="D76" i="3"/>
  <c r="D83" i="3"/>
  <c r="D85" i="3"/>
  <c r="D80" i="3"/>
  <c r="D68" i="3"/>
  <c r="D56" i="3"/>
  <c r="D44" i="3"/>
  <c r="D32" i="3"/>
  <c r="D20" i="3"/>
  <c r="D82" i="3"/>
  <c r="D77" i="3"/>
  <c r="D65" i="3"/>
  <c r="D53" i="3"/>
  <c r="D41" i="3"/>
  <c r="D29" i="3"/>
  <c r="D84" i="3"/>
  <c r="D74" i="3"/>
  <c r="D72" i="3"/>
  <c r="D70" i="3"/>
  <c r="D38" i="3"/>
  <c r="D33" i="3"/>
  <c r="D9" i="3"/>
  <c r="D75" i="3"/>
  <c r="D73" i="3"/>
  <c r="D69" i="3"/>
  <c r="D61" i="3"/>
  <c r="D60" i="3"/>
  <c r="D52" i="3"/>
  <c r="D28" i="3"/>
  <c r="D23" i="3"/>
  <c r="D59" i="3"/>
  <c r="D51" i="3"/>
  <c r="D42" i="3"/>
  <c r="D50" i="3"/>
  <c r="D37" i="3"/>
  <c r="D27" i="3"/>
  <c r="D18" i="3"/>
  <c r="D58" i="3"/>
  <c r="D36" i="3"/>
  <c r="D22" i="3"/>
  <c r="D57" i="3"/>
  <c r="D49" i="3"/>
  <c r="D48" i="3"/>
  <c r="D31" i="3"/>
  <c r="D8" i="3"/>
  <c r="D66" i="3"/>
  <c r="D47" i="3"/>
  <c r="D40" i="3"/>
  <c r="D35" i="3"/>
  <c r="D46" i="3"/>
  <c r="D64" i="3"/>
  <c r="D45" i="3"/>
  <c r="D39" i="3"/>
  <c r="D26" i="3"/>
  <c r="D10" i="3"/>
  <c r="D34" i="3"/>
  <c r="D16" i="3"/>
  <c r="D15" i="3"/>
  <c r="D5" i="3"/>
  <c r="D78" i="3"/>
  <c r="D30" i="3"/>
  <c r="D24" i="3"/>
  <c r="D17" i="3"/>
  <c r="D14" i="3"/>
  <c r="D13" i="3"/>
  <c r="D4" i="3"/>
  <c r="D62" i="3"/>
  <c r="D54" i="3"/>
  <c r="D21" i="3"/>
  <c r="D12" i="3"/>
  <c r="D3" i="3"/>
  <c r="D71" i="3"/>
  <c r="D25" i="3"/>
  <c r="D19" i="3"/>
  <c r="D6" i="3"/>
  <c r="D11" i="3"/>
  <c r="D63" i="3"/>
  <c r="D7" i="3"/>
  <c r="N12" i="3"/>
  <c r="O12" i="3" s="1"/>
  <c r="N2" i="3"/>
  <c r="O2" i="3" s="1"/>
  <c r="I11" i="3"/>
  <c r="H11" i="3"/>
  <c r="N29" i="3"/>
  <c r="O29" i="3" s="1"/>
  <c r="I3" i="3"/>
  <c r="H3" i="3"/>
  <c r="N61" i="3"/>
  <c r="O61" i="3" s="1"/>
  <c r="N6" i="3"/>
  <c r="O6" i="3" s="1"/>
  <c r="N53" i="3"/>
  <c r="O53" i="3" s="1"/>
  <c r="I25" i="3"/>
  <c r="H25" i="3"/>
  <c r="H45" i="3"/>
  <c r="I45" i="3"/>
  <c r="N19" i="3"/>
  <c r="O19" i="3" s="1"/>
  <c r="N74" i="3"/>
  <c r="O74" i="3" s="1"/>
  <c r="H21" i="3"/>
  <c r="I21" i="3"/>
  <c r="N25" i="3"/>
  <c r="O25" i="3" s="1"/>
  <c r="N28" i="3"/>
  <c r="O28" i="3" s="1"/>
  <c r="I64" i="3"/>
  <c r="H64" i="3"/>
  <c r="N71" i="3"/>
  <c r="O71" i="3" s="1"/>
  <c r="N7" i="3"/>
  <c r="O7" i="3" s="1"/>
  <c r="I17" i="3"/>
  <c r="H17" i="3"/>
  <c r="N38" i="3"/>
  <c r="O38" i="3" s="1"/>
  <c r="N33" i="3"/>
  <c r="O33" i="3" s="1"/>
  <c r="N62" i="3"/>
  <c r="O62" i="3" s="1"/>
  <c r="N72" i="3"/>
  <c r="O72" i="3" s="1"/>
  <c r="I20" i="3"/>
  <c r="H20" i="3"/>
  <c r="N24" i="3"/>
  <c r="O24" i="3" s="1"/>
  <c r="N30" i="3"/>
  <c r="O30" i="3" s="1"/>
  <c r="I12" i="3"/>
  <c r="K12" i="3" s="1"/>
  <c r="I26" i="3"/>
  <c r="H26" i="3"/>
  <c r="N52" i="3"/>
  <c r="O52" i="3" s="1"/>
  <c r="H4" i="3"/>
  <c r="K4" i="3" s="1"/>
  <c r="H8" i="3"/>
  <c r="K8" i="3" s="1"/>
  <c r="I13" i="3"/>
  <c r="K13" i="3" s="1"/>
  <c r="N16" i="3"/>
  <c r="O16" i="3" s="1"/>
  <c r="N17" i="3"/>
  <c r="O17" i="3" s="1"/>
  <c r="N20" i="3"/>
  <c r="O20" i="3" s="1"/>
  <c r="N23" i="3"/>
  <c r="O23" i="3" s="1"/>
  <c r="N44" i="3"/>
  <c r="O44" i="3" s="1"/>
  <c r="N73" i="3"/>
  <c r="O73" i="3" s="1"/>
  <c r="N63" i="3"/>
  <c r="O63" i="3" s="1"/>
  <c r="N80" i="3"/>
  <c r="O80" i="3" s="1"/>
  <c r="N83" i="3"/>
  <c r="O83" i="3" s="1"/>
  <c r="N39" i="3"/>
  <c r="O39" i="3" s="1"/>
  <c r="N54" i="3"/>
  <c r="O54" i="3" s="1"/>
  <c r="N65" i="3"/>
  <c r="O65" i="3" s="1"/>
  <c r="N77" i="3"/>
  <c r="O77" i="3" s="1"/>
  <c r="N81" i="3"/>
  <c r="O81" i="3" s="1"/>
  <c r="H46" i="3"/>
  <c r="K46" i="3" s="1"/>
  <c r="H55" i="3"/>
  <c r="K55" i="3" s="1"/>
  <c r="N66" i="3"/>
  <c r="O66" i="3" s="1"/>
  <c r="H35" i="3"/>
  <c r="H40" i="3"/>
  <c r="H56" i="3"/>
  <c r="N79" i="3"/>
  <c r="O79" i="3" s="1"/>
  <c r="N27" i="3"/>
  <c r="O27" i="3" s="1"/>
  <c r="H41" i="3"/>
  <c r="I47" i="3"/>
  <c r="K47" i="3" s="1"/>
  <c r="I48" i="3"/>
  <c r="K48" i="3" s="1"/>
  <c r="N64" i="3"/>
  <c r="O64" i="3" s="1"/>
  <c r="N18" i="3"/>
  <c r="O18" i="3" s="1"/>
  <c r="H31" i="3"/>
  <c r="K31" i="3" s="1"/>
  <c r="I36" i="3"/>
  <c r="K36" i="3" s="1"/>
  <c r="H49" i="3"/>
  <c r="K49" i="3" s="1"/>
  <c r="N51" i="3"/>
  <c r="O51" i="3" s="1"/>
  <c r="I57" i="3"/>
  <c r="K57" i="3" s="1"/>
  <c r="H76" i="3"/>
  <c r="N42" i="3"/>
  <c r="O42" i="3" s="1"/>
  <c r="H67" i="3"/>
  <c r="N75" i="3"/>
  <c r="O75" i="3" s="1"/>
  <c r="N82" i="3"/>
  <c r="O82" i="3" s="1"/>
  <c r="N85" i="3"/>
  <c r="O85" i="3" s="1"/>
  <c r="N78" i="3"/>
  <c r="O78" i="3" s="1"/>
  <c r="C42" i="2" l="1"/>
  <c r="C337" i="2"/>
  <c r="C30" i="2"/>
  <c r="C251" i="2"/>
  <c r="C345" i="2"/>
  <c r="C284" i="2"/>
  <c r="C236" i="2"/>
  <c r="C163" i="2"/>
  <c r="C285" i="2"/>
  <c r="C116" i="2"/>
  <c r="C319" i="2"/>
  <c r="C344" i="2"/>
  <c r="C83" i="2"/>
  <c r="C346" i="2"/>
  <c r="C129" i="2"/>
  <c r="C70" i="2"/>
  <c r="C54" i="2"/>
  <c r="C248" i="2"/>
  <c r="C296" i="2"/>
  <c r="C263" i="2"/>
  <c r="C225" i="2"/>
  <c r="C151" i="2"/>
  <c r="C277" i="2"/>
  <c r="C316" i="2"/>
  <c r="C143" i="2"/>
  <c r="C95" i="2"/>
  <c r="C203" i="2"/>
  <c r="C18" i="2"/>
  <c r="C287" i="2"/>
  <c r="C359" i="2"/>
  <c r="C333" i="2"/>
  <c r="C170" i="2"/>
  <c r="C187" i="2"/>
  <c r="C318" i="2"/>
  <c r="C343" i="2"/>
  <c r="C239" i="2"/>
  <c r="C308" i="2"/>
  <c r="C279" i="2"/>
  <c r="C71" i="2"/>
  <c r="C162" i="2"/>
  <c r="C291" i="2"/>
  <c r="C349" i="2"/>
  <c r="C160" i="2"/>
  <c r="C354" i="2"/>
  <c r="C194" i="2"/>
  <c r="C297" i="2"/>
  <c r="C185" i="2"/>
  <c r="C76" i="3"/>
  <c r="J76" i="3" s="1"/>
  <c r="C325" i="2"/>
  <c r="C182" i="2"/>
  <c r="C254" i="2"/>
  <c r="C59" i="2"/>
  <c r="C158" i="2"/>
  <c r="C311" i="2"/>
  <c r="C11" i="3"/>
  <c r="C172" i="2"/>
  <c r="C153" i="2"/>
  <c r="C199" i="2"/>
  <c r="C310" i="2"/>
  <c r="C218" i="2"/>
  <c r="C23" i="3"/>
  <c r="J23" i="3" s="1"/>
  <c r="C108" i="2"/>
  <c r="C331" i="2"/>
  <c r="C6" i="2"/>
  <c r="C229" i="2"/>
  <c r="C47" i="2"/>
  <c r="C121" i="2"/>
  <c r="C332" i="2"/>
  <c r="C191" i="2"/>
  <c r="C184" i="2"/>
  <c r="C165" i="2"/>
  <c r="C207" i="2"/>
  <c r="C330" i="2"/>
  <c r="C226" i="2"/>
  <c r="C28" i="3"/>
  <c r="C173" i="2"/>
  <c r="C216" i="2"/>
  <c r="C35" i="2"/>
  <c r="C100" i="2"/>
  <c r="C7" i="3"/>
  <c r="C201" i="2"/>
  <c r="C196" i="2"/>
  <c r="C177" i="2"/>
  <c r="C220" i="2"/>
  <c r="C351" i="2"/>
  <c r="C253" i="2"/>
  <c r="C52" i="3"/>
  <c r="J52" i="3" s="1"/>
  <c r="C298" i="2"/>
  <c r="C358" i="2"/>
  <c r="C181" i="2"/>
  <c r="C23" i="2"/>
  <c r="C90" i="2"/>
  <c r="C299" i="2"/>
  <c r="C222" i="2"/>
  <c r="C217" i="2"/>
  <c r="C189" i="2"/>
  <c r="C249" i="2"/>
  <c r="C132" i="2"/>
  <c r="C64" i="3"/>
  <c r="C148" i="2"/>
  <c r="C150" i="2"/>
  <c r="C11" i="2"/>
  <c r="C78" i="2"/>
  <c r="C320" i="2"/>
  <c r="C255" i="2"/>
  <c r="C230" i="2"/>
  <c r="C204" i="2"/>
  <c r="C3" i="3"/>
  <c r="J3" i="3" s="1"/>
  <c r="C144" i="2"/>
  <c r="C80" i="3"/>
  <c r="J80" i="3" s="1"/>
  <c r="C267" i="2"/>
  <c r="C175" i="2"/>
  <c r="C176" i="2"/>
  <c r="C202" i="2"/>
  <c r="C146" i="2"/>
  <c r="C27" i="2"/>
  <c r="C66" i="2"/>
  <c r="C235" i="2"/>
  <c r="C275" i="2"/>
  <c r="C242" i="2"/>
  <c r="C212" i="2"/>
  <c r="C139" i="2"/>
  <c r="C231" i="2"/>
  <c r="C244" i="2"/>
  <c r="C339" i="2"/>
  <c r="C273" i="2"/>
  <c r="C340" i="2"/>
  <c r="C300" i="2"/>
  <c r="C73" i="3"/>
  <c r="J73" i="3" s="1"/>
  <c r="C156" i="2"/>
  <c r="C101" i="2"/>
  <c r="C286" i="2"/>
  <c r="C352" i="2"/>
  <c r="C324" i="2"/>
  <c r="C154" i="2"/>
  <c r="C260" i="2"/>
  <c r="C215" i="2"/>
  <c r="C168" i="2"/>
  <c r="C113" i="2"/>
  <c r="C306" i="2"/>
  <c r="C4" i="3"/>
  <c r="J4" i="3" s="1"/>
  <c r="C257" i="2"/>
  <c r="C142" i="2"/>
  <c r="C272" i="2"/>
  <c r="C301" i="2"/>
  <c r="C228" i="2"/>
  <c r="C180" i="2"/>
  <c r="C125" i="2"/>
  <c r="C327" i="2"/>
  <c r="C8" i="3"/>
  <c r="J8" i="3" s="1"/>
  <c r="C269" i="2"/>
  <c r="C138" i="2"/>
  <c r="C313" i="2"/>
  <c r="C309" i="2"/>
  <c r="C243" i="2"/>
  <c r="C192" i="2"/>
  <c r="C137" i="2"/>
  <c r="C347" i="2"/>
  <c r="C17" i="3"/>
  <c r="C281" i="2"/>
  <c r="C135" i="2"/>
  <c r="C321" i="2"/>
  <c r="C322" i="2"/>
  <c r="C246" i="2"/>
  <c r="C210" i="2"/>
  <c r="C149" i="2"/>
  <c r="C357" i="2"/>
  <c r="C302" i="2"/>
  <c r="C63" i="3"/>
  <c r="J63" i="3" s="1"/>
  <c r="C334" i="2"/>
  <c r="C342" i="2"/>
  <c r="C289" i="2"/>
  <c r="C223" i="2"/>
  <c r="C161" i="2"/>
  <c r="C21" i="3"/>
  <c r="C338" i="2"/>
  <c r="C35" i="3"/>
  <c r="C54" i="3"/>
  <c r="C307" i="2"/>
  <c r="C50" i="3"/>
  <c r="J50" i="3" s="1"/>
  <c r="C288" i="2"/>
  <c r="C40" i="3"/>
  <c r="C43" i="3"/>
  <c r="C13" i="2"/>
  <c r="C55" i="3"/>
  <c r="J55" i="3" s="1"/>
  <c r="C53" i="3"/>
  <c r="J53" i="3" s="1"/>
  <c r="C326" i="2"/>
  <c r="C312" i="2"/>
  <c r="C65" i="3"/>
  <c r="J65" i="3" s="1"/>
  <c r="C62" i="3"/>
  <c r="J62" i="3" s="1"/>
  <c r="C36" i="3"/>
  <c r="J36" i="3" s="1"/>
  <c r="C71" i="3"/>
  <c r="J71" i="3" s="1"/>
  <c r="C350" i="2"/>
  <c r="C336" i="2"/>
  <c r="C41" i="3"/>
  <c r="C37" i="3"/>
  <c r="J37" i="3" s="1"/>
  <c r="C77" i="2"/>
  <c r="C355" i="2"/>
  <c r="C233" i="2"/>
  <c r="C18" i="3"/>
  <c r="C49" i="3"/>
  <c r="C65" i="2"/>
  <c r="C5" i="3"/>
  <c r="J5" i="3" s="1"/>
  <c r="C245" i="2"/>
  <c r="C27" i="3"/>
  <c r="J27" i="3" s="1"/>
  <c r="C61" i="3"/>
  <c r="C193" i="2"/>
  <c r="C183" i="2"/>
  <c r="C69" i="3"/>
  <c r="J69" i="3" s="1"/>
  <c r="C78" i="3"/>
  <c r="J78" i="3" s="1"/>
  <c r="C85" i="3"/>
  <c r="J85" i="3" s="1"/>
  <c r="C126" i="2"/>
  <c r="C145" i="2"/>
  <c r="C57" i="2"/>
  <c r="C205" i="2"/>
  <c r="C356" i="2"/>
  <c r="C256" i="2"/>
  <c r="C24" i="3"/>
  <c r="J24" i="3" s="1"/>
  <c r="C9" i="3"/>
  <c r="J9" i="3" s="1"/>
  <c r="C20" i="3"/>
  <c r="J20" i="3" s="1"/>
  <c r="C348" i="2"/>
  <c r="C293" i="2"/>
  <c r="C47" i="3"/>
  <c r="C67" i="3"/>
  <c r="C75" i="3"/>
  <c r="J75" i="3" s="1"/>
  <c r="C22" i="3"/>
  <c r="J22" i="3" s="1"/>
  <c r="C81" i="3"/>
  <c r="J81" i="3" s="1"/>
  <c r="C105" i="2"/>
  <c r="C118" i="2"/>
  <c r="C36" i="2"/>
  <c r="C45" i="3"/>
  <c r="J45" i="3" s="1"/>
  <c r="C268" i="2"/>
  <c r="C30" i="3"/>
  <c r="J30" i="3" s="1"/>
  <c r="C15" i="3"/>
  <c r="J15" i="3" s="1"/>
  <c r="C39" i="3"/>
  <c r="C10" i="3"/>
  <c r="C305" i="2"/>
  <c r="C56" i="3"/>
  <c r="J56" i="3" s="1"/>
  <c r="C79" i="3"/>
  <c r="J79" i="3" s="1"/>
  <c r="C33" i="3"/>
  <c r="J33" i="3" s="1"/>
  <c r="C34" i="3"/>
  <c r="J34" i="3" s="1"/>
  <c r="C48" i="3"/>
  <c r="J48" i="3" s="1"/>
  <c r="C85" i="2"/>
  <c r="C315" i="2"/>
  <c r="C91" i="2"/>
  <c r="C83" i="3"/>
  <c r="J83" i="3" s="1"/>
  <c r="C280" i="2"/>
  <c r="C266" i="2"/>
  <c r="C16" i="3"/>
  <c r="J16" i="3" s="1"/>
  <c r="C44" i="3"/>
  <c r="J44" i="3" s="1"/>
  <c r="C26" i="3"/>
  <c r="J26" i="3" s="1"/>
  <c r="C317" i="2"/>
  <c r="C66" i="3"/>
  <c r="J66" i="3" s="1"/>
  <c r="C32" i="3"/>
  <c r="J32" i="3" s="1"/>
  <c r="C38" i="3"/>
  <c r="C46" i="3"/>
  <c r="J46" i="3" s="1"/>
  <c r="C60" i="3"/>
  <c r="J60" i="3" s="1"/>
  <c r="C73" i="2"/>
  <c r="C208" i="2"/>
  <c r="C178" i="2"/>
  <c r="C237" i="2"/>
  <c r="C12" i="3"/>
  <c r="J12" i="3" s="1"/>
  <c r="C292" i="2"/>
  <c r="C278" i="2"/>
  <c r="C259" i="2"/>
  <c r="C240" i="2"/>
  <c r="C29" i="3"/>
  <c r="J29" i="3" s="1"/>
  <c r="C329" i="2"/>
  <c r="C77" i="3"/>
  <c r="J77" i="3" s="1"/>
  <c r="C42" i="3"/>
  <c r="J42" i="3" s="1"/>
  <c r="C74" i="3"/>
  <c r="C58" i="3"/>
  <c r="J58" i="3" s="1"/>
  <c r="C72" i="3"/>
  <c r="J72" i="3" s="1"/>
  <c r="C61" i="2"/>
  <c r="C75" i="2"/>
  <c r="C79" i="2"/>
  <c r="C250" i="2"/>
  <c r="C31" i="3"/>
  <c r="J31" i="3" s="1"/>
  <c r="C304" i="2"/>
  <c r="C290" i="2"/>
  <c r="C271" i="2"/>
  <c r="C252" i="2"/>
  <c r="C197" i="2"/>
  <c r="C341" i="2"/>
  <c r="C57" i="3"/>
  <c r="J57" i="3" s="1"/>
  <c r="C51" i="3"/>
  <c r="J51" i="3" s="1"/>
  <c r="C2" i="3"/>
  <c r="J2" i="3" s="1"/>
  <c r="L2" i="3" s="1"/>
  <c r="R2" i="3" s="1"/>
  <c r="C70" i="3"/>
  <c r="J70" i="3" s="1"/>
  <c r="C84" i="3"/>
  <c r="J84" i="3" s="1"/>
  <c r="C49" i="2"/>
  <c r="C63" i="2"/>
  <c r="C31" i="2"/>
  <c r="K41" i="3"/>
  <c r="C283" i="2"/>
  <c r="C264" i="2"/>
  <c r="C209" i="2"/>
  <c r="C353" i="2"/>
  <c r="C361" i="2"/>
  <c r="C59" i="3"/>
  <c r="J59" i="3" s="1"/>
  <c r="C14" i="3"/>
  <c r="J14" i="3" s="1"/>
  <c r="C82" i="3"/>
  <c r="J82" i="3" s="1"/>
  <c r="C227" i="2"/>
  <c r="C37" i="2"/>
  <c r="C107" i="2"/>
  <c r="C74" i="2"/>
  <c r="C265" i="2"/>
  <c r="C360" i="2"/>
  <c r="C328" i="2"/>
  <c r="C314" i="2"/>
  <c r="C295" i="2"/>
  <c r="C276" i="2"/>
  <c r="C221" i="2"/>
  <c r="C6" i="3"/>
  <c r="J6" i="3" s="1"/>
  <c r="C13" i="3"/>
  <c r="C68" i="3"/>
  <c r="J68" i="3" s="1"/>
  <c r="C19" i="3"/>
  <c r="J19" i="3" s="1"/>
  <c r="C25" i="3"/>
  <c r="J25" i="3" s="1"/>
  <c r="C171" i="2"/>
  <c r="C25" i="2"/>
  <c r="C94" i="2"/>
  <c r="C48" i="2"/>
  <c r="C110" i="2"/>
  <c r="C190" i="2"/>
  <c r="C51" i="2"/>
  <c r="C82" i="2"/>
  <c r="C274" i="2"/>
  <c r="C164" i="2"/>
  <c r="C16" i="2"/>
  <c r="C119" i="2"/>
  <c r="C159" i="2"/>
  <c r="C7" i="2"/>
  <c r="C45" i="2"/>
  <c r="C97" i="2"/>
  <c r="C179" i="2"/>
  <c r="C39" i="2"/>
  <c r="C58" i="2"/>
  <c r="C261" i="2"/>
  <c r="C140" i="2"/>
  <c r="C186" i="2"/>
  <c r="C81" i="2"/>
  <c r="C111" i="2"/>
  <c r="C40" i="2"/>
  <c r="C67" i="2"/>
  <c r="C92" i="2"/>
  <c r="C157" i="2"/>
  <c r="C15" i="2"/>
  <c r="C335" i="2"/>
  <c r="C213" i="2"/>
  <c r="C303" i="2"/>
  <c r="C122" i="2"/>
  <c r="C53" i="2"/>
  <c r="C76" i="2"/>
  <c r="C147" i="2"/>
  <c r="C323" i="2"/>
  <c r="C80" i="2"/>
  <c r="C141" i="2"/>
  <c r="C3" i="2"/>
  <c r="C262" i="2"/>
  <c r="C188" i="2"/>
  <c r="C270" i="2"/>
  <c r="C84" i="2"/>
  <c r="C33" i="2"/>
  <c r="C50" i="2"/>
  <c r="C106" i="2"/>
  <c r="C93" i="2"/>
  <c r="C68" i="2"/>
  <c r="C134" i="2"/>
  <c r="C241" i="2"/>
  <c r="C219" i="2"/>
  <c r="C152" i="2"/>
  <c r="C238" i="2"/>
  <c r="C55" i="2"/>
  <c r="C12" i="2"/>
  <c r="C29" i="2"/>
  <c r="C46" i="2"/>
  <c r="C247" i="2"/>
  <c r="K40" i="3"/>
  <c r="C56" i="2"/>
  <c r="C131" i="2"/>
  <c r="C232" i="2"/>
  <c r="C206" i="2"/>
  <c r="C117" i="2"/>
  <c r="C224" i="2"/>
  <c r="C34" i="2"/>
  <c r="C10" i="2"/>
  <c r="C9" i="2"/>
  <c r="C26" i="2"/>
  <c r="C21" i="2"/>
  <c r="C44" i="2"/>
  <c r="C123" i="2"/>
  <c r="C195" i="2"/>
  <c r="C169" i="2"/>
  <c r="C104" i="2"/>
  <c r="C14" i="2"/>
  <c r="C2" i="2"/>
  <c r="E2" i="2" s="1"/>
  <c r="F2" i="2" s="1"/>
  <c r="E2" i="3" s="1"/>
  <c r="G2" i="3" s="1"/>
  <c r="C28" i="2"/>
  <c r="C24" i="2"/>
  <c r="C60" i="2"/>
  <c r="K35" i="3"/>
  <c r="C234" i="2"/>
  <c r="C32" i="2"/>
  <c r="C115" i="2"/>
  <c r="C174" i="2"/>
  <c r="C112" i="2"/>
  <c r="C96" i="2"/>
  <c r="C198" i="2"/>
  <c r="C52" i="2"/>
  <c r="C133" i="2"/>
  <c r="C98" i="2"/>
  <c r="C22" i="2"/>
  <c r="C38" i="2"/>
  <c r="C214" i="2"/>
  <c r="C20" i="2"/>
  <c r="C102" i="2"/>
  <c r="C128" i="2"/>
  <c r="C99" i="2"/>
  <c r="C258" i="2"/>
  <c r="C124" i="2"/>
  <c r="C43" i="2"/>
  <c r="C19" i="2"/>
  <c r="C155" i="2"/>
  <c r="C41" i="2"/>
  <c r="C17" i="2"/>
  <c r="C166" i="2"/>
  <c r="C8" i="2"/>
  <c r="C87" i="2"/>
  <c r="C120" i="2"/>
  <c r="C89" i="2"/>
  <c r="C200" i="2"/>
  <c r="C86" i="2"/>
  <c r="C282" i="2"/>
  <c r="C114" i="2"/>
  <c r="C109" i="2"/>
  <c r="C130" i="2"/>
  <c r="C127" i="2"/>
  <c r="K28" i="3"/>
  <c r="C69" i="2"/>
  <c r="C211" i="2"/>
  <c r="C4" i="2"/>
  <c r="K64" i="3"/>
  <c r="K20" i="3"/>
  <c r="K3" i="3"/>
  <c r="K67" i="3"/>
  <c r="K11" i="3"/>
  <c r="K17" i="3"/>
  <c r="C72" i="2"/>
  <c r="C136" i="2"/>
  <c r="K25" i="3"/>
  <c r="K21" i="3"/>
  <c r="K84" i="3"/>
  <c r="K82" i="3"/>
  <c r="K76" i="3"/>
  <c r="K56" i="3"/>
  <c r="K26" i="3"/>
  <c r="K45" i="3"/>
  <c r="C88" i="2"/>
  <c r="C167" i="2"/>
  <c r="C62" i="2"/>
  <c r="C5" i="2"/>
  <c r="C64" i="2"/>
  <c r="J47" i="3"/>
  <c r="J28" i="3"/>
  <c r="J13" i="3"/>
  <c r="J67" i="3"/>
  <c r="J7" i="3"/>
  <c r="J39" i="3"/>
  <c r="J10" i="3"/>
  <c r="J38" i="3"/>
  <c r="J74" i="3"/>
  <c r="M2" i="3"/>
  <c r="J54" i="3"/>
  <c r="J17" i="3"/>
  <c r="J21" i="3"/>
  <c r="J43" i="3"/>
  <c r="J35" i="3"/>
  <c r="J41" i="3"/>
  <c r="J49" i="3"/>
  <c r="J11" i="3"/>
  <c r="J64" i="3"/>
  <c r="J40" i="3"/>
  <c r="J18" i="3"/>
  <c r="J61" i="3"/>
  <c r="B3" i="2" l="1"/>
  <c r="M3" i="3"/>
  <c r="M4" i="3" s="1"/>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L3" i="3"/>
  <c r="L4" i="3" s="1"/>
  <c r="D3" i="2"/>
  <c r="E3" i="2" s="1"/>
  <c r="F3" i="2" s="1"/>
  <c r="Q2" i="3"/>
  <c r="P2" i="3"/>
  <c r="R3" i="3" l="1"/>
  <c r="E3" i="3"/>
  <c r="G3" i="3" s="1"/>
  <c r="B4" i="2"/>
  <c r="L5" i="3"/>
  <c r="R4" i="3"/>
  <c r="R5" i="3" l="1"/>
  <c r="L6" i="3"/>
  <c r="D4" i="2"/>
  <c r="E4" i="2" s="1"/>
  <c r="F4" i="2"/>
  <c r="Q3" i="3"/>
  <c r="P3" i="3"/>
  <c r="E4" i="3" l="1"/>
  <c r="G4" i="3" s="1"/>
  <c r="B5" i="2"/>
  <c r="L7" i="3"/>
  <c r="R6" i="3"/>
  <c r="D5" i="2" l="1"/>
  <c r="E5" i="2" s="1"/>
  <c r="F5" i="2" s="1"/>
  <c r="R7" i="3"/>
  <c r="L8" i="3"/>
  <c r="Q4" i="3"/>
  <c r="P4" i="3"/>
  <c r="E5" i="3" l="1"/>
  <c r="G5" i="3" s="1"/>
  <c r="B6" i="2"/>
  <c r="R8" i="3"/>
  <c r="L9" i="3"/>
  <c r="D6" i="2" l="1"/>
  <c r="E6" i="2" s="1"/>
  <c r="F6" i="2" s="1"/>
  <c r="R9" i="3"/>
  <c r="L10" i="3"/>
  <c r="Q5" i="3"/>
  <c r="P5" i="3"/>
  <c r="R10" i="3" l="1"/>
  <c r="L11" i="3"/>
  <c r="E6" i="3"/>
  <c r="G6" i="3" s="1"/>
  <c r="B7" i="2"/>
  <c r="D7" i="2" l="1"/>
  <c r="E7" i="2" s="1"/>
  <c r="F7" i="2" s="1"/>
  <c r="Q6" i="3"/>
  <c r="P6" i="3"/>
  <c r="R11" i="3"/>
  <c r="L12" i="3"/>
  <c r="E7" i="3" l="1"/>
  <c r="G7" i="3" s="1"/>
  <c r="B8" i="2"/>
  <c r="R12" i="3"/>
  <c r="L13" i="3"/>
  <c r="L14" i="3" l="1"/>
  <c r="R13" i="3"/>
  <c r="D10" i="4" s="1"/>
  <c r="D8" i="2"/>
  <c r="E8" i="2" s="1"/>
  <c r="F8" i="2" s="1"/>
  <c r="Q7" i="3"/>
  <c r="P7" i="3"/>
  <c r="E8" i="3" l="1"/>
  <c r="G8" i="3" s="1"/>
  <c r="B9" i="2"/>
  <c r="R14" i="3"/>
  <c r="L15" i="3"/>
  <c r="R15" i="3" l="1"/>
  <c r="L16" i="3"/>
  <c r="D9" i="2"/>
  <c r="E9" i="2" s="1"/>
  <c r="F9" i="2" s="1"/>
  <c r="P8" i="3"/>
  <c r="Q8" i="3"/>
  <c r="E9" i="3" l="1"/>
  <c r="G9" i="3" s="1"/>
  <c r="B10" i="2"/>
  <c r="L17" i="3"/>
  <c r="R16" i="3"/>
  <c r="L18" i="3" l="1"/>
  <c r="R17" i="3"/>
  <c r="D10" i="2"/>
  <c r="E10" i="2" s="1"/>
  <c r="F10" i="2" s="1"/>
  <c r="P9" i="3"/>
  <c r="Q9" i="3"/>
  <c r="E10" i="3" l="1"/>
  <c r="G10" i="3" s="1"/>
  <c r="B11" i="2"/>
  <c r="R18" i="3"/>
  <c r="L19" i="3"/>
  <c r="R19" i="3" l="1"/>
  <c r="L20" i="3"/>
  <c r="D11" i="2"/>
  <c r="E11" i="2" s="1"/>
  <c r="F11" i="2" s="1"/>
  <c r="Q10" i="3"/>
  <c r="P10" i="3"/>
  <c r="E11" i="3" l="1"/>
  <c r="G11" i="3" s="1"/>
  <c r="B12" i="2"/>
  <c r="L21" i="3"/>
  <c r="R20" i="3"/>
  <c r="L22" i="3" l="1"/>
  <c r="R21" i="3"/>
  <c r="D12" i="2"/>
  <c r="E12" i="2" s="1"/>
  <c r="F12" i="2" s="1"/>
  <c r="Q11" i="3"/>
  <c r="P11" i="3"/>
  <c r="E12" i="3" l="1"/>
  <c r="G12" i="3" s="1"/>
  <c r="B13" i="2"/>
  <c r="R22" i="3"/>
  <c r="L23" i="3"/>
  <c r="R23" i="3" l="1"/>
  <c r="L24" i="3"/>
  <c r="D13" i="2"/>
  <c r="E13" i="2" s="1"/>
  <c r="F13" i="2" s="1"/>
  <c r="Q12" i="3"/>
  <c r="P12" i="3"/>
  <c r="E13" i="3" l="1"/>
  <c r="B14" i="2"/>
  <c r="L25" i="3"/>
  <c r="R24" i="3"/>
  <c r="G13" i="3" l="1"/>
  <c r="P13" i="3" s="1"/>
  <c r="B10" i="4" s="1"/>
  <c r="E10" i="4" s="1"/>
  <c r="L26" i="3"/>
  <c r="R25" i="3"/>
  <c r="D11" i="4" s="1"/>
  <c r="D14" i="2"/>
  <c r="E14" i="2" s="1"/>
  <c r="F14" i="2" s="1"/>
  <c r="Q13" i="3"/>
  <c r="C10" i="4" s="1"/>
  <c r="F10" i="4" s="1"/>
  <c r="E14" i="3" l="1"/>
  <c r="G14" i="3" s="1"/>
  <c r="B15" i="2"/>
  <c r="R26" i="3"/>
  <c r="L27" i="3"/>
  <c r="D15" i="2" l="1"/>
  <c r="E15" i="2" s="1"/>
  <c r="F15" i="2" s="1"/>
  <c r="L28" i="3"/>
  <c r="R27" i="3"/>
  <c r="Q14" i="3"/>
  <c r="P14" i="3"/>
  <c r="E15" i="3" l="1"/>
  <c r="G15" i="3" s="1"/>
  <c r="B16" i="2"/>
  <c r="R28" i="3"/>
  <c r="L29" i="3"/>
  <c r="D16" i="2" l="1"/>
  <c r="E16" i="2" s="1"/>
  <c r="F16" i="2" s="1"/>
  <c r="L30" i="3"/>
  <c r="R29" i="3"/>
  <c r="Q15" i="3"/>
  <c r="P15" i="3"/>
  <c r="L31" i="3" l="1"/>
  <c r="R30" i="3"/>
  <c r="E16" i="3"/>
  <c r="G16" i="3" s="1"/>
  <c r="B17" i="2"/>
  <c r="D17" i="2" l="1"/>
  <c r="E17" i="2" s="1"/>
  <c r="F17" i="2" s="1"/>
  <c r="Q16" i="3"/>
  <c r="P16" i="3"/>
  <c r="R31" i="3"/>
  <c r="L32" i="3"/>
  <c r="E17" i="3" l="1"/>
  <c r="G17" i="3" s="1"/>
  <c r="B18" i="2"/>
  <c r="R32" i="3"/>
  <c r="L33" i="3"/>
  <c r="D18" i="2" l="1"/>
  <c r="E18" i="2" s="1"/>
  <c r="F18" i="2" s="1"/>
  <c r="R33" i="3"/>
  <c r="L34" i="3"/>
  <c r="Q17" i="3"/>
  <c r="P17" i="3"/>
  <c r="R34" i="3" l="1"/>
  <c r="L35" i="3"/>
  <c r="E18" i="3"/>
  <c r="G18" i="3" s="1"/>
  <c r="B19" i="2"/>
  <c r="D19" i="2" l="1"/>
  <c r="E19" i="2" s="1"/>
  <c r="F19" i="2" s="1"/>
  <c r="Q18" i="3"/>
  <c r="P18" i="3"/>
  <c r="R35" i="3"/>
  <c r="L36" i="3"/>
  <c r="L37" i="3" l="1"/>
  <c r="R36" i="3"/>
  <c r="E19" i="3"/>
  <c r="G19" i="3" s="1"/>
  <c r="B20" i="2"/>
  <c r="D20" i="2" l="1"/>
  <c r="E20" i="2" s="1"/>
  <c r="F20" i="2" s="1"/>
  <c r="P19" i="3"/>
  <c r="Q19" i="3"/>
  <c r="R37" i="3"/>
  <c r="D12" i="4" s="1"/>
  <c r="L38" i="3"/>
  <c r="E20" i="3" l="1"/>
  <c r="G20" i="3" s="1"/>
  <c r="B21" i="2"/>
  <c r="R38" i="3"/>
  <c r="L39" i="3"/>
  <c r="L40" i="3" l="1"/>
  <c r="R39" i="3"/>
  <c r="D21" i="2"/>
  <c r="E21" i="2" s="1"/>
  <c r="F21" i="2" s="1"/>
  <c r="P20" i="3"/>
  <c r="Q20" i="3"/>
  <c r="E21" i="3" l="1"/>
  <c r="G21" i="3" s="1"/>
  <c r="B22" i="2"/>
  <c r="R40" i="3"/>
  <c r="L41" i="3"/>
  <c r="R41" i="3" l="1"/>
  <c r="L42" i="3"/>
  <c r="D22" i="2"/>
  <c r="E22" i="2" s="1"/>
  <c r="F22" i="2" s="1"/>
  <c r="P21" i="3"/>
  <c r="Q21" i="3"/>
  <c r="E22" i="3" l="1"/>
  <c r="G22" i="3" s="1"/>
  <c r="B23" i="2"/>
  <c r="R42" i="3"/>
  <c r="L43" i="3"/>
  <c r="R43" i="3" l="1"/>
  <c r="L44" i="3"/>
  <c r="D23" i="2"/>
  <c r="E23" i="2" s="1"/>
  <c r="F23" i="2" s="1"/>
  <c r="Q22" i="3"/>
  <c r="P22" i="3"/>
  <c r="E23" i="3" l="1"/>
  <c r="G23" i="3" s="1"/>
  <c r="B24" i="2"/>
  <c r="R44" i="3"/>
  <c r="L45" i="3"/>
  <c r="R45" i="3" l="1"/>
  <c r="L46" i="3"/>
  <c r="D24" i="2"/>
  <c r="E24" i="2" s="1"/>
  <c r="F24" i="2" s="1"/>
  <c r="Q23" i="3"/>
  <c r="P23" i="3"/>
  <c r="E24" i="3" l="1"/>
  <c r="G24" i="3" s="1"/>
  <c r="B25" i="2"/>
  <c r="R46" i="3"/>
  <c r="L47" i="3"/>
  <c r="R47" i="3" l="1"/>
  <c r="L48" i="3"/>
  <c r="D25" i="2"/>
  <c r="E25" i="2" s="1"/>
  <c r="F25" i="2" s="1"/>
  <c r="Q24" i="3"/>
  <c r="P24" i="3"/>
  <c r="E25" i="3" l="1"/>
  <c r="G25" i="3" s="1"/>
  <c r="B26" i="2"/>
  <c r="L49" i="3"/>
  <c r="R48" i="3"/>
  <c r="R49" i="3" l="1"/>
  <c r="D13" i="4" s="1"/>
  <c r="L50" i="3"/>
  <c r="D26" i="2"/>
  <c r="E26" i="2" s="1"/>
  <c r="F26" i="2" s="1"/>
  <c r="Q25" i="3"/>
  <c r="C11" i="4" s="1"/>
  <c r="F11" i="4" s="1"/>
  <c r="P25" i="3"/>
  <c r="B11" i="4" s="1"/>
  <c r="E11" i="4" s="1"/>
  <c r="E26" i="3" l="1"/>
  <c r="G26" i="3" s="1"/>
  <c r="B27" i="2"/>
  <c r="L51" i="3"/>
  <c r="R50" i="3"/>
  <c r="L52" i="3" l="1"/>
  <c r="R51" i="3"/>
  <c r="D27" i="2"/>
  <c r="E27" i="2" s="1"/>
  <c r="F27" i="2" s="1"/>
  <c r="Q26" i="3"/>
  <c r="P26" i="3"/>
  <c r="E27" i="3" l="1"/>
  <c r="G27" i="3" s="1"/>
  <c r="B28" i="2"/>
  <c r="R52" i="3"/>
  <c r="L53" i="3"/>
  <c r="R53" i="3" l="1"/>
  <c r="L54" i="3"/>
  <c r="D28" i="2"/>
  <c r="E28" i="2" s="1"/>
  <c r="F28" i="2" s="1"/>
  <c r="Q27" i="3"/>
  <c r="P27" i="3"/>
  <c r="E28" i="3" l="1"/>
  <c r="G28" i="3" s="1"/>
  <c r="B29" i="2"/>
  <c r="L55" i="3"/>
  <c r="R54" i="3"/>
  <c r="R55" i="3" l="1"/>
  <c r="L56" i="3"/>
  <c r="D29" i="2"/>
  <c r="E29" i="2" s="1"/>
  <c r="F29" i="2" s="1"/>
  <c r="Q28" i="3"/>
  <c r="P28" i="3"/>
  <c r="E29" i="3" l="1"/>
  <c r="G29" i="3" s="1"/>
  <c r="B30" i="2"/>
  <c r="R56" i="3"/>
  <c r="L57" i="3"/>
  <c r="D30" i="2" l="1"/>
  <c r="E30" i="2" s="1"/>
  <c r="F30" i="2"/>
  <c r="R57" i="3"/>
  <c r="L58" i="3"/>
  <c r="P29" i="3"/>
  <c r="Q29" i="3"/>
  <c r="R58" i="3" l="1"/>
  <c r="L59" i="3"/>
  <c r="E30" i="3"/>
  <c r="G30" i="3" s="1"/>
  <c r="B31" i="2"/>
  <c r="D31" i="2" l="1"/>
  <c r="E31" i="2" s="1"/>
  <c r="F31" i="2" s="1"/>
  <c r="Q30" i="3"/>
  <c r="P30" i="3"/>
  <c r="R59" i="3"/>
  <c r="L60" i="3"/>
  <c r="E31" i="3" l="1"/>
  <c r="G31" i="3" s="1"/>
  <c r="B32" i="2"/>
  <c r="L61" i="3"/>
  <c r="R60" i="3"/>
  <c r="D32" i="2" l="1"/>
  <c r="E32" i="2" s="1"/>
  <c r="F32" i="2" s="1"/>
  <c r="R61" i="3"/>
  <c r="D14" i="4" s="1"/>
  <c r="L62" i="3"/>
  <c r="Q31" i="3"/>
  <c r="P31" i="3"/>
  <c r="E32" i="3" l="1"/>
  <c r="G32" i="3" s="1"/>
  <c r="B33" i="2"/>
  <c r="L63" i="3"/>
  <c r="R62" i="3"/>
  <c r="L64" i="3" l="1"/>
  <c r="R63" i="3"/>
  <c r="D33" i="2"/>
  <c r="E33" i="2" s="1"/>
  <c r="F33" i="2" s="1"/>
  <c r="P32" i="3"/>
  <c r="Q32" i="3"/>
  <c r="E33" i="3" l="1"/>
  <c r="G33" i="3" s="1"/>
  <c r="B34" i="2"/>
  <c r="L65" i="3"/>
  <c r="R64" i="3"/>
  <c r="R65" i="3" l="1"/>
  <c r="L66" i="3"/>
  <c r="D34" i="2"/>
  <c r="E34" i="2" s="1"/>
  <c r="F34" i="2" s="1"/>
  <c r="Q33" i="3"/>
  <c r="P33" i="3"/>
  <c r="E34" i="3" l="1"/>
  <c r="G34" i="3" s="1"/>
  <c r="B35" i="2"/>
  <c r="R66" i="3"/>
  <c r="L67" i="3"/>
  <c r="R67" i="3" l="1"/>
  <c r="L68" i="3"/>
  <c r="D35" i="2"/>
  <c r="E35" i="2" s="1"/>
  <c r="F35" i="2" s="1"/>
  <c r="Q34" i="3"/>
  <c r="P34" i="3"/>
  <c r="E35" i="3" l="1"/>
  <c r="G35" i="3" s="1"/>
  <c r="B36" i="2"/>
  <c r="R68" i="3"/>
  <c r="L69" i="3"/>
  <c r="R69" i="3" l="1"/>
  <c r="L70" i="3"/>
  <c r="D36" i="2"/>
  <c r="E36" i="2" s="1"/>
  <c r="F36" i="2" s="1"/>
  <c r="Q35" i="3"/>
  <c r="P35" i="3"/>
  <c r="E36" i="3" l="1"/>
  <c r="G36" i="3" s="1"/>
  <c r="B37" i="2"/>
  <c r="R70" i="3"/>
  <c r="L71" i="3"/>
  <c r="L72" i="3" l="1"/>
  <c r="R71" i="3"/>
  <c r="D37" i="2"/>
  <c r="E37" i="2" s="1"/>
  <c r="F37" i="2" s="1"/>
  <c r="Q36" i="3"/>
  <c r="P36" i="3"/>
  <c r="E37" i="3" l="1"/>
  <c r="G37" i="3" s="1"/>
  <c r="B38" i="2"/>
  <c r="L73" i="3"/>
  <c r="R72" i="3"/>
  <c r="R73" i="3" l="1"/>
  <c r="D15" i="4" s="1"/>
  <c r="L74" i="3"/>
  <c r="D38" i="2"/>
  <c r="E38" i="2" s="1"/>
  <c r="F38" i="2" s="1"/>
  <c r="Q37" i="3"/>
  <c r="C12" i="4" s="1"/>
  <c r="F12" i="4" s="1"/>
  <c r="P37" i="3"/>
  <c r="B12" i="4" s="1"/>
  <c r="E12" i="4" s="1"/>
  <c r="E38" i="3" l="1"/>
  <c r="G38" i="3" s="1"/>
  <c r="B39" i="2"/>
  <c r="L75" i="3"/>
  <c r="R74" i="3"/>
  <c r="L76" i="3" l="1"/>
  <c r="R75" i="3"/>
  <c r="D39" i="2"/>
  <c r="E39" i="2" s="1"/>
  <c r="F39" i="2" s="1"/>
  <c r="Q38" i="3"/>
  <c r="P38" i="3"/>
  <c r="E39" i="3" l="1"/>
  <c r="G39" i="3" s="1"/>
  <c r="B40" i="2"/>
  <c r="L77" i="3"/>
  <c r="R76" i="3"/>
  <c r="L78" i="3" l="1"/>
  <c r="R77" i="3"/>
  <c r="D40" i="2"/>
  <c r="E40" i="2" s="1"/>
  <c r="F40" i="2" s="1"/>
  <c r="Q39" i="3"/>
  <c r="P39" i="3"/>
  <c r="E40" i="3" l="1"/>
  <c r="G40" i="3" s="1"/>
  <c r="B41" i="2"/>
  <c r="R78" i="3"/>
  <c r="L79" i="3"/>
  <c r="R79" i="3" l="1"/>
  <c r="L80" i="3"/>
  <c r="D41" i="2"/>
  <c r="E41" i="2" s="1"/>
  <c r="F41" i="2" s="1"/>
  <c r="Q40" i="3"/>
  <c r="P40" i="3"/>
  <c r="E41" i="3" l="1"/>
  <c r="G41" i="3" s="1"/>
  <c r="B42" i="2"/>
  <c r="L81" i="3"/>
  <c r="R80" i="3"/>
  <c r="R81" i="3" l="1"/>
  <c r="L82" i="3"/>
  <c r="D42" i="2"/>
  <c r="E42" i="2" s="1"/>
  <c r="F42" i="2"/>
  <c r="P41" i="3"/>
  <c r="Q41" i="3"/>
  <c r="E42" i="3" l="1"/>
  <c r="G42" i="3" s="1"/>
  <c r="B43" i="2"/>
  <c r="R82" i="3"/>
  <c r="L83" i="3"/>
  <c r="R83" i="3" l="1"/>
  <c r="L84" i="3"/>
  <c r="D43" i="2"/>
  <c r="E43" i="2" s="1"/>
  <c r="F43" i="2" s="1"/>
  <c r="Q42" i="3"/>
  <c r="P42" i="3"/>
  <c r="E43" i="3" l="1"/>
  <c r="G43" i="3" s="1"/>
  <c r="B44" i="2"/>
  <c r="R84" i="3"/>
  <c r="L85" i="3"/>
  <c r="R85" i="3" s="1"/>
  <c r="D16" i="4" s="1"/>
  <c r="D19" i="4" l="1"/>
  <c r="D44" i="2"/>
  <c r="E44" i="2" s="1"/>
  <c r="F44" i="2" s="1"/>
  <c r="P43" i="3"/>
  <c r="Q43" i="3"/>
  <c r="E44" i="3" l="1"/>
  <c r="G44" i="3" s="1"/>
  <c r="B45" i="2"/>
  <c r="D45" i="2" l="1"/>
  <c r="E45" i="2" s="1"/>
  <c r="F45" i="2"/>
  <c r="P44" i="3"/>
  <c r="Q44" i="3"/>
  <c r="E45" i="3" l="1"/>
  <c r="G45" i="3" s="1"/>
  <c r="B46" i="2"/>
  <c r="D46" i="2" l="1"/>
  <c r="E46" i="2" s="1"/>
  <c r="F46" i="2" s="1"/>
  <c r="Q45" i="3"/>
  <c r="P45" i="3"/>
  <c r="E46" i="3" l="1"/>
  <c r="G46" i="3" s="1"/>
  <c r="B47" i="2"/>
  <c r="D47" i="2" l="1"/>
  <c r="E47" i="2" s="1"/>
  <c r="F47" i="2" s="1"/>
  <c r="Q46" i="3"/>
  <c r="P46" i="3"/>
  <c r="E47" i="3" l="1"/>
  <c r="G47" i="3" s="1"/>
  <c r="B48" i="2"/>
  <c r="D48" i="2" l="1"/>
  <c r="E48" i="2" s="1"/>
  <c r="F48" i="2" s="1"/>
  <c r="Q47" i="3"/>
  <c r="P47" i="3"/>
  <c r="E48" i="3" l="1"/>
  <c r="G48" i="3" s="1"/>
  <c r="B49" i="2"/>
  <c r="D49" i="2" l="1"/>
  <c r="E49" i="2" s="1"/>
  <c r="F49" i="2"/>
  <c r="Q48" i="3"/>
  <c r="P48" i="3"/>
  <c r="E49" i="3" l="1"/>
  <c r="G49" i="3" s="1"/>
  <c r="B50" i="2"/>
  <c r="D50" i="2" l="1"/>
  <c r="E50" i="2" s="1"/>
  <c r="F50" i="2" s="1"/>
  <c r="Q49" i="3"/>
  <c r="C13" i="4" s="1"/>
  <c r="F13" i="4" s="1"/>
  <c r="P49" i="3"/>
  <c r="B13" i="4" s="1"/>
  <c r="E13" i="4" s="1"/>
  <c r="E50" i="3" l="1"/>
  <c r="G50" i="3" s="1"/>
  <c r="B51" i="2"/>
  <c r="D51" i="2" l="1"/>
  <c r="E51" i="2" s="1"/>
  <c r="F51" i="2" s="1"/>
  <c r="Q50" i="3"/>
  <c r="P50" i="3"/>
  <c r="E51" i="3" l="1"/>
  <c r="G51" i="3" s="1"/>
  <c r="B52" i="2"/>
  <c r="D52" i="2" l="1"/>
  <c r="E52" i="2" s="1"/>
  <c r="F52" i="2" s="1"/>
  <c r="Q51" i="3"/>
  <c r="P51" i="3"/>
  <c r="E52" i="3" l="1"/>
  <c r="G52" i="3" s="1"/>
  <c r="B53" i="2"/>
  <c r="D53" i="2" l="1"/>
  <c r="E53" i="2" s="1"/>
  <c r="F53" i="2" s="1"/>
  <c r="Q52" i="3"/>
  <c r="P52" i="3"/>
  <c r="E53" i="3" l="1"/>
  <c r="G53" i="3" s="1"/>
  <c r="B54" i="2"/>
  <c r="D54" i="2" l="1"/>
  <c r="E54" i="2" s="1"/>
  <c r="F54" i="2" s="1"/>
  <c r="P53" i="3"/>
  <c r="Q53" i="3"/>
  <c r="E54" i="3" l="1"/>
  <c r="G54" i="3" s="1"/>
  <c r="B55" i="2"/>
  <c r="D55" i="2" l="1"/>
  <c r="E55" i="2" s="1"/>
  <c r="F55" i="2" s="1"/>
  <c r="P54" i="3"/>
  <c r="Q54" i="3"/>
  <c r="E55" i="3" l="1"/>
  <c r="G55" i="3" s="1"/>
  <c r="B56" i="2"/>
  <c r="D56" i="2" l="1"/>
  <c r="E56" i="2" s="1"/>
  <c r="F56" i="2" s="1"/>
  <c r="P55" i="3"/>
  <c r="Q55" i="3"/>
  <c r="E56" i="3" l="1"/>
  <c r="G56" i="3" s="1"/>
  <c r="B57" i="2"/>
  <c r="D57" i="2" l="1"/>
  <c r="E57" i="2" s="1"/>
  <c r="F57" i="2" s="1"/>
  <c r="P56" i="3"/>
  <c r="Q56" i="3"/>
  <c r="E57" i="3" l="1"/>
  <c r="G57" i="3" s="1"/>
  <c r="B58" i="2"/>
  <c r="D58" i="2" l="1"/>
  <c r="E58" i="2" s="1"/>
  <c r="F58" i="2" s="1"/>
  <c r="Q57" i="3"/>
  <c r="P57" i="3"/>
  <c r="E58" i="3" l="1"/>
  <c r="G58" i="3" s="1"/>
  <c r="B59" i="2"/>
  <c r="D59" i="2" l="1"/>
  <c r="E59" i="2" s="1"/>
  <c r="F59" i="2" s="1"/>
  <c r="Q58" i="3"/>
  <c r="P58" i="3"/>
  <c r="E59" i="3" l="1"/>
  <c r="G59" i="3" s="1"/>
  <c r="B60" i="2"/>
  <c r="D60" i="2" l="1"/>
  <c r="E60" i="2" s="1"/>
  <c r="F60" i="2" s="1"/>
  <c r="Q59" i="3"/>
  <c r="P59" i="3"/>
  <c r="E60" i="3" l="1"/>
  <c r="G60" i="3" s="1"/>
  <c r="B61" i="2"/>
  <c r="D61" i="2" l="1"/>
  <c r="E61" i="2" s="1"/>
  <c r="F61" i="2" s="1"/>
  <c r="Q60" i="3"/>
  <c r="P60" i="3"/>
  <c r="E61" i="3" l="1"/>
  <c r="G61" i="3" s="1"/>
  <c r="B62" i="2"/>
  <c r="D62" i="2" l="1"/>
  <c r="E62" i="2" s="1"/>
  <c r="F62" i="2" s="1"/>
  <c r="Q61" i="3"/>
  <c r="C14" i="4" s="1"/>
  <c r="F14" i="4" s="1"/>
  <c r="P61" i="3"/>
  <c r="B14" i="4" s="1"/>
  <c r="E14" i="4" s="1"/>
  <c r="E62" i="3" l="1"/>
  <c r="G62" i="3" s="1"/>
  <c r="B63" i="2"/>
  <c r="D63" i="2" l="1"/>
  <c r="E63" i="2" s="1"/>
  <c r="F63" i="2" s="1"/>
  <c r="Q62" i="3"/>
  <c r="P62" i="3"/>
  <c r="E63" i="3" l="1"/>
  <c r="G63" i="3" s="1"/>
  <c r="B64" i="2"/>
  <c r="D64" i="2" l="1"/>
  <c r="E64" i="2" s="1"/>
  <c r="F64" i="2" s="1"/>
  <c r="Q63" i="3"/>
  <c r="P63" i="3"/>
  <c r="E64" i="3" l="1"/>
  <c r="G64" i="3" s="1"/>
  <c r="B65" i="2"/>
  <c r="D65" i="2" l="1"/>
  <c r="E65" i="2" s="1"/>
  <c r="F65" i="2" s="1"/>
  <c r="P64" i="3"/>
  <c r="Q64" i="3"/>
  <c r="E65" i="3" l="1"/>
  <c r="G65" i="3" s="1"/>
  <c r="B66" i="2"/>
  <c r="D66" i="2" l="1"/>
  <c r="E66" i="2" s="1"/>
  <c r="F66" i="2" s="1"/>
  <c r="P65" i="3"/>
  <c r="Q65" i="3"/>
  <c r="E66" i="3" l="1"/>
  <c r="G66" i="3" s="1"/>
  <c r="B67" i="2"/>
  <c r="D67" i="2" l="1"/>
  <c r="E67" i="2" s="1"/>
  <c r="F67" i="2" s="1"/>
  <c r="Q66" i="3"/>
  <c r="P66" i="3"/>
  <c r="E67" i="3" l="1"/>
  <c r="G67" i="3" s="1"/>
  <c r="B68" i="2"/>
  <c r="D68" i="2" l="1"/>
  <c r="E68" i="2" s="1"/>
  <c r="F68" i="2" s="1"/>
  <c r="P67" i="3"/>
  <c r="Q67" i="3"/>
  <c r="E68" i="3" l="1"/>
  <c r="G68" i="3" s="1"/>
  <c r="B69" i="2"/>
  <c r="D69" i="2" l="1"/>
  <c r="E69" i="2" s="1"/>
  <c r="F69" i="2"/>
  <c r="P68" i="3"/>
  <c r="Q68" i="3"/>
  <c r="E69" i="3" l="1"/>
  <c r="G69" i="3" s="1"/>
  <c r="B70" i="2"/>
  <c r="D70" i="2" l="1"/>
  <c r="E70" i="2" s="1"/>
  <c r="F70" i="2" s="1"/>
  <c r="Q69" i="3"/>
  <c r="P69" i="3"/>
  <c r="E70" i="3" l="1"/>
  <c r="G70" i="3" s="1"/>
  <c r="B71" i="2"/>
  <c r="D71" i="2" l="1"/>
  <c r="E71" i="2" s="1"/>
  <c r="F71" i="2" s="1"/>
  <c r="Q70" i="3"/>
  <c r="P70" i="3"/>
  <c r="E71" i="3" l="1"/>
  <c r="G71" i="3" s="1"/>
  <c r="B72" i="2"/>
  <c r="D72" i="2" l="1"/>
  <c r="E72" i="2" s="1"/>
  <c r="F72" i="2" s="1"/>
  <c r="Q71" i="3"/>
  <c r="P71" i="3"/>
  <c r="E72" i="3" l="1"/>
  <c r="G72" i="3" s="1"/>
  <c r="B73" i="2"/>
  <c r="D73" i="2" l="1"/>
  <c r="E73" i="2" s="1"/>
  <c r="F73" i="2" s="1"/>
  <c r="Q72" i="3"/>
  <c r="P72" i="3"/>
  <c r="E73" i="3" l="1"/>
  <c r="G73" i="3" s="1"/>
  <c r="B74" i="2"/>
  <c r="D74" i="2" l="1"/>
  <c r="E74" i="2" s="1"/>
  <c r="F74" i="2" s="1"/>
  <c r="Q73" i="3"/>
  <c r="C15" i="4" s="1"/>
  <c r="F15" i="4" s="1"/>
  <c r="P73" i="3"/>
  <c r="B15" i="4" s="1"/>
  <c r="E15" i="4" s="1"/>
  <c r="E74" i="3" l="1"/>
  <c r="G74" i="3" s="1"/>
  <c r="B75" i="2"/>
  <c r="D75" i="2" l="1"/>
  <c r="E75" i="2" s="1"/>
  <c r="F75" i="2" s="1"/>
  <c r="Q74" i="3"/>
  <c r="P74" i="3"/>
  <c r="E75" i="3" l="1"/>
  <c r="G75" i="3" s="1"/>
  <c r="B76" i="2"/>
  <c r="D76" i="2" l="1"/>
  <c r="E76" i="2" s="1"/>
  <c r="F76" i="2"/>
  <c r="Q75" i="3"/>
  <c r="P75" i="3"/>
  <c r="E76" i="3" l="1"/>
  <c r="G76" i="3" s="1"/>
  <c r="B77" i="2"/>
  <c r="D77" i="2" l="1"/>
  <c r="E77" i="2" s="1"/>
  <c r="F77" i="2" s="1"/>
  <c r="Q76" i="3"/>
  <c r="P76" i="3"/>
  <c r="E77" i="3" l="1"/>
  <c r="G77" i="3" s="1"/>
  <c r="B78" i="2"/>
  <c r="D78" i="2" l="1"/>
  <c r="E78" i="2" s="1"/>
  <c r="F78" i="2"/>
  <c r="Q77" i="3"/>
  <c r="P77" i="3"/>
  <c r="E78" i="3" l="1"/>
  <c r="G78" i="3" s="1"/>
  <c r="B79" i="2"/>
  <c r="D79" i="2" l="1"/>
  <c r="E79" i="2" s="1"/>
  <c r="F79" i="2" s="1"/>
  <c r="Q78" i="3"/>
  <c r="P78" i="3"/>
  <c r="E79" i="3" l="1"/>
  <c r="G79" i="3" s="1"/>
  <c r="B80" i="2"/>
  <c r="D80" i="2" l="1"/>
  <c r="E80" i="2" s="1"/>
  <c r="F80" i="2" s="1"/>
  <c r="P79" i="3"/>
  <c r="Q79" i="3"/>
  <c r="E80" i="3" l="1"/>
  <c r="G80" i="3" s="1"/>
  <c r="B81" i="2"/>
  <c r="D81" i="2" l="1"/>
  <c r="E81" i="2" s="1"/>
  <c r="F81" i="2" s="1"/>
  <c r="Q80" i="3"/>
  <c r="P80" i="3"/>
  <c r="E81" i="3" l="1"/>
  <c r="G81" i="3" s="1"/>
  <c r="B82" i="2"/>
  <c r="D82" i="2" l="1"/>
  <c r="E82" i="2" s="1"/>
  <c r="F82" i="2" s="1"/>
  <c r="Q81" i="3"/>
  <c r="P81" i="3"/>
  <c r="E82" i="3" l="1"/>
  <c r="G82" i="3" s="1"/>
  <c r="B83" i="2"/>
  <c r="D83" i="2" l="1"/>
  <c r="E83" i="2" s="1"/>
  <c r="F83" i="2" s="1"/>
  <c r="Q82" i="3"/>
  <c r="P82" i="3"/>
  <c r="E83" i="3" l="1"/>
  <c r="G83" i="3" s="1"/>
  <c r="B84" i="2"/>
  <c r="D84" i="2" l="1"/>
  <c r="E84" i="2" s="1"/>
  <c r="F84" i="2" s="1"/>
  <c r="Q83" i="3"/>
  <c r="P83" i="3"/>
  <c r="E84" i="3" l="1"/>
  <c r="G84" i="3" s="1"/>
  <c r="B85" i="2"/>
  <c r="D85" i="2" l="1"/>
  <c r="E85" i="2" s="1"/>
  <c r="F85" i="2" s="1"/>
  <c r="Q84" i="3"/>
  <c r="P84" i="3"/>
  <c r="E85" i="3" l="1"/>
  <c r="G85" i="3" s="1"/>
  <c r="B86" i="2"/>
  <c r="D86" i="2" l="1"/>
  <c r="E86" i="2" s="1"/>
  <c r="F86" i="2" s="1"/>
  <c r="B87" i="2" s="1"/>
  <c r="Q85" i="3"/>
  <c r="C16" i="4" s="1"/>
  <c r="F16" i="4" s="1"/>
  <c r="P85" i="3"/>
  <c r="B16" i="4" s="1"/>
  <c r="B24" i="4" l="1"/>
  <c r="E16" i="4"/>
  <c r="D87" i="2"/>
  <c r="E87" i="2" s="1"/>
  <c r="F87" i="2" s="1"/>
  <c r="B88" i="2" s="1"/>
  <c r="B22" i="4"/>
  <c r="B19" i="4"/>
  <c r="B21" i="4"/>
  <c r="B20" i="4"/>
  <c r="C19" i="4"/>
  <c r="D88" i="2" l="1"/>
  <c r="E88" i="2" s="1"/>
  <c r="F88" i="2"/>
  <c r="B89" i="2" s="1"/>
  <c r="D89" i="2" l="1"/>
  <c r="E89" i="2" s="1"/>
  <c r="F89" i="2" s="1"/>
  <c r="B90" i="2" s="1"/>
  <c r="D90" i="2" l="1"/>
  <c r="E90" i="2" s="1"/>
  <c r="F90" i="2"/>
  <c r="B91" i="2" s="1"/>
  <c r="D91" i="2" l="1"/>
  <c r="E91" i="2" s="1"/>
  <c r="F91" i="2" s="1"/>
  <c r="B92" i="2" s="1"/>
  <c r="D92" i="2" l="1"/>
  <c r="E92" i="2" s="1"/>
  <c r="F92" i="2" s="1"/>
  <c r="B93" i="2" s="1"/>
  <c r="D93" i="2" l="1"/>
  <c r="E93" i="2" s="1"/>
  <c r="F93" i="2" s="1"/>
  <c r="B94" i="2" s="1"/>
  <c r="D94" i="2" l="1"/>
  <c r="E94" i="2" s="1"/>
  <c r="F94" i="2" s="1"/>
  <c r="B95" i="2" s="1"/>
  <c r="D95" i="2" l="1"/>
  <c r="E95" i="2" s="1"/>
  <c r="F95" i="2" s="1"/>
  <c r="B96" i="2" s="1"/>
  <c r="D96" i="2" l="1"/>
  <c r="E96" i="2" s="1"/>
  <c r="F96" i="2" s="1"/>
  <c r="B97" i="2" s="1"/>
  <c r="D97" i="2" l="1"/>
  <c r="E97" i="2" s="1"/>
  <c r="F97" i="2" s="1"/>
  <c r="B98" i="2" s="1"/>
  <c r="D98" i="2" l="1"/>
  <c r="E98" i="2" s="1"/>
  <c r="F98" i="2" s="1"/>
  <c r="B99" i="2" s="1"/>
  <c r="D99" i="2" l="1"/>
  <c r="E99" i="2" s="1"/>
  <c r="F99" i="2" s="1"/>
  <c r="B100" i="2" s="1"/>
  <c r="D100" i="2" l="1"/>
  <c r="E100" i="2" s="1"/>
  <c r="F100" i="2" s="1"/>
  <c r="B101" i="2" s="1"/>
  <c r="D101" i="2" l="1"/>
  <c r="E101" i="2" s="1"/>
  <c r="F101" i="2" s="1"/>
  <c r="B102" i="2" s="1"/>
  <c r="D102" i="2" l="1"/>
  <c r="E102" i="2" s="1"/>
  <c r="F102" i="2" s="1"/>
  <c r="B103" i="2" s="1"/>
  <c r="D103" i="2" l="1"/>
  <c r="E103" i="2" s="1"/>
  <c r="F103" i="2" s="1"/>
  <c r="B104" i="2" s="1"/>
  <c r="D104" i="2" l="1"/>
  <c r="E104" i="2" s="1"/>
  <c r="F104" i="2" s="1"/>
  <c r="B105" i="2" s="1"/>
  <c r="D105" i="2" l="1"/>
  <c r="E105" i="2" s="1"/>
  <c r="F105" i="2" s="1"/>
  <c r="B106" i="2" s="1"/>
  <c r="D106" i="2" l="1"/>
  <c r="E106" i="2" s="1"/>
  <c r="F106" i="2" s="1"/>
  <c r="B107" i="2" s="1"/>
  <c r="D107" i="2" l="1"/>
  <c r="E107" i="2" s="1"/>
  <c r="F107" i="2" s="1"/>
  <c r="B108" i="2" s="1"/>
  <c r="D108" i="2" l="1"/>
  <c r="E108" i="2" s="1"/>
  <c r="F108" i="2"/>
  <c r="B109" i="2" s="1"/>
  <c r="D109" i="2" l="1"/>
  <c r="E109" i="2" s="1"/>
  <c r="F109" i="2" s="1"/>
  <c r="B110" i="2" s="1"/>
  <c r="D110" i="2" l="1"/>
  <c r="E110" i="2" s="1"/>
  <c r="F110" i="2" s="1"/>
  <c r="B111" i="2" s="1"/>
  <c r="D111" i="2" l="1"/>
  <c r="E111" i="2" s="1"/>
  <c r="F111" i="2" s="1"/>
  <c r="B112" i="2" s="1"/>
  <c r="D112" i="2" l="1"/>
  <c r="E112" i="2" s="1"/>
  <c r="F112" i="2" s="1"/>
  <c r="B113" i="2" s="1"/>
  <c r="D113" i="2" l="1"/>
  <c r="E113" i="2" s="1"/>
  <c r="F113" i="2" s="1"/>
  <c r="B114" i="2" s="1"/>
  <c r="D114" i="2" l="1"/>
  <c r="E114" i="2" s="1"/>
  <c r="F114" i="2" s="1"/>
  <c r="B115" i="2" s="1"/>
  <c r="D115" i="2" l="1"/>
  <c r="E115" i="2" s="1"/>
  <c r="F115" i="2" s="1"/>
  <c r="B116" i="2" s="1"/>
  <c r="D116" i="2" l="1"/>
  <c r="E116" i="2" s="1"/>
  <c r="F116" i="2" s="1"/>
  <c r="B117" i="2" s="1"/>
  <c r="D117" i="2" l="1"/>
  <c r="E117" i="2" s="1"/>
  <c r="F117" i="2" s="1"/>
  <c r="B118" i="2" s="1"/>
  <c r="D118" i="2" l="1"/>
  <c r="E118" i="2" s="1"/>
  <c r="F118" i="2" s="1"/>
  <c r="B119" i="2" s="1"/>
  <c r="D119" i="2" l="1"/>
  <c r="E119" i="2" s="1"/>
  <c r="F119" i="2" s="1"/>
  <c r="B120" i="2" s="1"/>
  <c r="D120" i="2" l="1"/>
  <c r="E120" i="2" s="1"/>
  <c r="F120" i="2" s="1"/>
  <c r="B121" i="2" s="1"/>
  <c r="D121" i="2" l="1"/>
  <c r="E121" i="2" s="1"/>
  <c r="F121" i="2"/>
  <c r="B122" i="2" s="1"/>
  <c r="D122" i="2" l="1"/>
  <c r="E122" i="2" s="1"/>
  <c r="F122" i="2" s="1"/>
  <c r="B123" i="2" s="1"/>
  <c r="D123" i="2" l="1"/>
  <c r="E123" i="2" s="1"/>
  <c r="F123" i="2" s="1"/>
  <c r="B124" i="2" s="1"/>
  <c r="D124" i="2" l="1"/>
  <c r="E124" i="2" s="1"/>
  <c r="F124" i="2" s="1"/>
  <c r="B125" i="2" s="1"/>
  <c r="D125" i="2" l="1"/>
  <c r="E125" i="2" s="1"/>
  <c r="F125" i="2" s="1"/>
  <c r="B126" i="2" s="1"/>
  <c r="D126" i="2" l="1"/>
  <c r="E126" i="2" s="1"/>
  <c r="F126" i="2"/>
  <c r="B127" i="2" s="1"/>
  <c r="D127" i="2" l="1"/>
  <c r="E127" i="2" s="1"/>
  <c r="F127" i="2" s="1"/>
  <c r="B128" i="2" s="1"/>
  <c r="D128" i="2" l="1"/>
  <c r="E128" i="2" s="1"/>
  <c r="F128" i="2" s="1"/>
  <c r="B129" i="2" s="1"/>
  <c r="D129" i="2" l="1"/>
  <c r="E129" i="2" s="1"/>
  <c r="F129" i="2" s="1"/>
  <c r="B130" i="2" s="1"/>
  <c r="D130" i="2" l="1"/>
  <c r="E130" i="2" s="1"/>
  <c r="F130" i="2" s="1"/>
  <c r="B131" i="2" s="1"/>
  <c r="D131" i="2" l="1"/>
  <c r="E131" i="2" s="1"/>
  <c r="F131" i="2" s="1"/>
  <c r="B132" i="2" s="1"/>
  <c r="D132" i="2" l="1"/>
  <c r="E132" i="2" s="1"/>
  <c r="F132" i="2"/>
  <c r="B133" i="2" s="1"/>
  <c r="D133" i="2" l="1"/>
  <c r="E133" i="2" s="1"/>
  <c r="F133" i="2" s="1"/>
  <c r="B134" i="2" s="1"/>
  <c r="D134" i="2" l="1"/>
  <c r="E134" i="2" s="1"/>
  <c r="F134" i="2" s="1"/>
  <c r="B135" i="2" s="1"/>
  <c r="D135" i="2" l="1"/>
  <c r="E135" i="2" s="1"/>
  <c r="F135" i="2" s="1"/>
  <c r="B136" i="2" s="1"/>
  <c r="D136" i="2" l="1"/>
  <c r="E136" i="2" s="1"/>
  <c r="F136" i="2" s="1"/>
  <c r="B137" i="2" s="1"/>
  <c r="D137" i="2" l="1"/>
  <c r="E137" i="2" s="1"/>
  <c r="F137" i="2" s="1"/>
  <c r="B138" i="2" s="1"/>
  <c r="D138" i="2" l="1"/>
  <c r="E138" i="2" s="1"/>
  <c r="F138" i="2" s="1"/>
  <c r="B139" i="2" s="1"/>
  <c r="D139" i="2" l="1"/>
  <c r="E139" i="2" s="1"/>
  <c r="F139" i="2" s="1"/>
  <c r="B140" i="2" s="1"/>
  <c r="D140" i="2" l="1"/>
  <c r="E140" i="2" s="1"/>
  <c r="F140" i="2" s="1"/>
  <c r="B141" i="2" s="1"/>
  <c r="D141" i="2" l="1"/>
  <c r="E141" i="2" s="1"/>
  <c r="F141" i="2" s="1"/>
  <c r="B142" i="2" s="1"/>
  <c r="D142" i="2" l="1"/>
  <c r="E142" i="2" s="1"/>
  <c r="F142" i="2"/>
  <c r="B143" i="2" s="1"/>
  <c r="D143" i="2" l="1"/>
  <c r="E143" i="2" s="1"/>
  <c r="F143" i="2"/>
  <c r="B144" i="2" s="1"/>
  <c r="D144" i="2" l="1"/>
  <c r="E144" i="2" s="1"/>
  <c r="F144" i="2" s="1"/>
  <c r="B145" i="2" s="1"/>
  <c r="D145" i="2" l="1"/>
  <c r="E145" i="2" s="1"/>
  <c r="F145" i="2" s="1"/>
  <c r="B146" i="2" s="1"/>
  <c r="D146" i="2" l="1"/>
  <c r="E146" i="2" s="1"/>
  <c r="F146" i="2" s="1"/>
  <c r="B147" i="2" s="1"/>
  <c r="D147" i="2" l="1"/>
  <c r="E147" i="2" s="1"/>
  <c r="F147" i="2" s="1"/>
  <c r="B148" i="2" s="1"/>
  <c r="D148" i="2" l="1"/>
  <c r="E148" i="2" s="1"/>
  <c r="F148" i="2" s="1"/>
  <c r="B149" i="2" s="1"/>
  <c r="D149" i="2" l="1"/>
  <c r="E149" i="2" s="1"/>
  <c r="F149" i="2" s="1"/>
  <c r="B150" i="2" s="1"/>
  <c r="D150" i="2" l="1"/>
  <c r="E150" i="2" s="1"/>
  <c r="F150" i="2" s="1"/>
  <c r="B151" i="2" s="1"/>
  <c r="D151" i="2" l="1"/>
  <c r="E151" i="2" s="1"/>
  <c r="F151" i="2"/>
  <c r="B152" i="2" s="1"/>
  <c r="D152" i="2" l="1"/>
  <c r="E152" i="2" s="1"/>
  <c r="F152" i="2" s="1"/>
  <c r="B153" i="2" s="1"/>
  <c r="D153" i="2" l="1"/>
  <c r="E153" i="2" s="1"/>
  <c r="F153" i="2" s="1"/>
  <c r="B154" i="2" s="1"/>
  <c r="D154" i="2" l="1"/>
  <c r="E154" i="2" s="1"/>
  <c r="F154" i="2"/>
  <c r="B155" i="2" s="1"/>
  <c r="D155" i="2" l="1"/>
  <c r="E155" i="2" s="1"/>
  <c r="F155" i="2"/>
  <c r="B156" i="2" s="1"/>
  <c r="D156" i="2" l="1"/>
  <c r="E156" i="2" s="1"/>
  <c r="F156" i="2"/>
  <c r="B157" i="2" s="1"/>
  <c r="D157" i="2" l="1"/>
  <c r="E157" i="2" s="1"/>
  <c r="F157" i="2" s="1"/>
  <c r="B158" i="2" s="1"/>
  <c r="D158" i="2" l="1"/>
  <c r="E158" i="2" s="1"/>
  <c r="F158" i="2" s="1"/>
  <c r="B159" i="2" s="1"/>
  <c r="D159" i="2" l="1"/>
  <c r="E159" i="2" s="1"/>
  <c r="F159" i="2" s="1"/>
  <c r="B160" i="2" s="1"/>
  <c r="D160" i="2" l="1"/>
  <c r="E160" i="2" s="1"/>
  <c r="F160" i="2" s="1"/>
  <c r="B161" i="2" s="1"/>
  <c r="D161" i="2" l="1"/>
  <c r="E161" i="2" s="1"/>
  <c r="F161" i="2" s="1"/>
  <c r="B162" i="2" s="1"/>
  <c r="D162" i="2" l="1"/>
  <c r="E162" i="2" s="1"/>
  <c r="F162" i="2" s="1"/>
  <c r="B163" i="2" s="1"/>
  <c r="D163" i="2" l="1"/>
  <c r="E163" i="2" s="1"/>
  <c r="F163" i="2" s="1"/>
  <c r="B164" i="2" s="1"/>
  <c r="D164" i="2" l="1"/>
  <c r="E164" i="2" s="1"/>
  <c r="F164" i="2" s="1"/>
  <c r="B165" i="2" s="1"/>
  <c r="D165" i="2" l="1"/>
  <c r="E165" i="2" s="1"/>
  <c r="F165" i="2" s="1"/>
  <c r="B166" i="2" s="1"/>
  <c r="D166" i="2" l="1"/>
  <c r="E166" i="2" s="1"/>
  <c r="F166" i="2" s="1"/>
  <c r="B167" i="2" s="1"/>
  <c r="D167" i="2" l="1"/>
  <c r="E167" i="2" s="1"/>
  <c r="F167" i="2" s="1"/>
  <c r="B168" i="2" s="1"/>
  <c r="D168" i="2" l="1"/>
  <c r="E168" i="2" s="1"/>
  <c r="F168" i="2" s="1"/>
  <c r="B169" i="2" s="1"/>
  <c r="D169" i="2" l="1"/>
  <c r="E169" i="2" s="1"/>
  <c r="F169" i="2" s="1"/>
  <c r="B170" i="2" s="1"/>
  <c r="D170" i="2" l="1"/>
  <c r="E170" i="2" s="1"/>
  <c r="F170" i="2" s="1"/>
  <c r="B171" i="2" s="1"/>
  <c r="D171" i="2" l="1"/>
  <c r="E171" i="2" s="1"/>
  <c r="F171" i="2"/>
  <c r="B172" i="2" s="1"/>
  <c r="D172" i="2" l="1"/>
  <c r="E172" i="2" s="1"/>
  <c r="F172" i="2" s="1"/>
  <c r="B173" i="2" s="1"/>
  <c r="D173" i="2" l="1"/>
  <c r="E173" i="2" s="1"/>
  <c r="F173" i="2" s="1"/>
  <c r="B174" i="2" s="1"/>
  <c r="D174" i="2" l="1"/>
  <c r="E174" i="2" s="1"/>
  <c r="F174" i="2" s="1"/>
  <c r="B175" i="2" s="1"/>
  <c r="D175" i="2" l="1"/>
  <c r="E175" i="2" s="1"/>
  <c r="F175" i="2"/>
  <c r="B176" i="2" s="1"/>
  <c r="D176" i="2" l="1"/>
  <c r="E176" i="2" s="1"/>
  <c r="F176" i="2"/>
  <c r="B177" i="2" s="1"/>
  <c r="D177" i="2" l="1"/>
  <c r="E177" i="2" s="1"/>
  <c r="F177" i="2" s="1"/>
  <c r="B178" i="2" s="1"/>
  <c r="D178" i="2" l="1"/>
  <c r="E178" i="2" s="1"/>
  <c r="F178" i="2" s="1"/>
  <c r="B179" i="2" s="1"/>
  <c r="D179" i="2" l="1"/>
  <c r="E179" i="2" s="1"/>
  <c r="F179" i="2" s="1"/>
  <c r="B180" i="2" s="1"/>
  <c r="D180" i="2" l="1"/>
  <c r="E180" i="2" s="1"/>
  <c r="F180" i="2"/>
  <c r="B181" i="2" s="1"/>
  <c r="D181" i="2" l="1"/>
  <c r="E181" i="2" s="1"/>
  <c r="F181" i="2" s="1"/>
  <c r="B182" i="2" s="1"/>
  <c r="D182" i="2" l="1"/>
  <c r="E182" i="2" s="1"/>
  <c r="F182" i="2" s="1"/>
  <c r="B183" i="2" s="1"/>
  <c r="D183" i="2" l="1"/>
  <c r="E183" i="2" s="1"/>
  <c r="F183" i="2" s="1"/>
  <c r="B184" i="2" s="1"/>
  <c r="D184" i="2" l="1"/>
  <c r="E184" i="2" s="1"/>
  <c r="F184" i="2" s="1"/>
  <c r="B185" i="2" s="1"/>
  <c r="D185" i="2" l="1"/>
  <c r="E185" i="2" s="1"/>
  <c r="F185" i="2" s="1"/>
  <c r="B186" i="2" s="1"/>
  <c r="D186" i="2" l="1"/>
  <c r="E186" i="2" s="1"/>
  <c r="F186" i="2" s="1"/>
  <c r="B187" i="2" s="1"/>
  <c r="D187" i="2" l="1"/>
  <c r="E187" i="2" s="1"/>
  <c r="F187" i="2" s="1"/>
  <c r="B188" i="2" s="1"/>
  <c r="D188" i="2" l="1"/>
  <c r="E188" i="2" s="1"/>
  <c r="F188" i="2" s="1"/>
  <c r="B189" i="2" s="1"/>
  <c r="D189" i="2" l="1"/>
  <c r="E189" i="2" s="1"/>
  <c r="F189" i="2" s="1"/>
  <c r="B190" i="2" s="1"/>
  <c r="D190" i="2" l="1"/>
  <c r="E190" i="2" s="1"/>
  <c r="F190" i="2" s="1"/>
  <c r="B191" i="2" s="1"/>
  <c r="D191" i="2" l="1"/>
  <c r="E191" i="2" s="1"/>
  <c r="F191" i="2" s="1"/>
  <c r="B192" i="2" s="1"/>
  <c r="D192" i="2" l="1"/>
  <c r="E192" i="2" s="1"/>
  <c r="F192" i="2"/>
  <c r="B193" i="2" s="1"/>
  <c r="D193" i="2" l="1"/>
  <c r="E193" i="2" s="1"/>
  <c r="F193" i="2" s="1"/>
  <c r="B194" i="2" s="1"/>
  <c r="D194" i="2" l="1"/>
  <c r="E194" i="2" s="1"/>
  <c r="F194" i="2" s="1"/>
  <c r="B195" i="2" s="1"/>
  <c r="D195" i="2" l="1"/>
  <c r="E195" i="2" s="1"/>
  <c r="F195" i="2" s="1"/>
  <c r="B196" i="2" s="1"/>
  <c r="D196" i="2" l="1"/>
  <c r="E196" i="2" s="1"/>
  <c r="F196" i="2" s="1"/>
  <c r="B197" i="2" s="1"/>
  <c r="D197" i="2" l="1"/>
  <c r="E197" i="2" s="1"/>
  <c r="F197" i="2"/>
  <c r="B198" i="2" s="1"/>
  <c r="D198" i="2" l="1"/>
  <c r="E198" i="2" s="1"/>
  <c r="F198" i="2" s="1"/>
  <c r="B199" i="2" s="1"/>
  <c r="D199" i="2" l="1"/>
  <c r="E199" i="2" s="1"/>
  <c r="F199" i="2" s="1"/>
  <c r="B200" i="2" s="1"/>
  <c r="D200" i="2" l="1"/>
  <c r="E200" i="2" s="1"/>
  <c r="F200" i="2" s="1"/>
  <c r="B201" i="2" s="1"/>
  <c r="D201" i="2" l="1"/>
  <c r="E201" i="2" s="1"/>
  <c r="F201" i="2" s="1"/>
  <c r="B202" i="2" s="1"/>
  <c r="D202" i="2" l="1"/>
  <c r="E202" i="2" s="1"/>
  <c r="F202" i="2"/>
  <c r="B203" i="2" s="1"/>
  <c r="D203" i="2" l="1"/>
  <c r="E203" i="2" s="1"/>
  <c r="F203" i="2" s="1"/>
  <c r="B204" i="2" s="1"/>
  <c r="D204" i="2" l="1"/>
  <c r="E204" i="2" s="1"/>
  <c r="F204" i="2"/>
  <c r="B205" i="2" s="1"/>
  <c r="D205" i="2" l="1"/>
  <c r="E205" i="2" s="1"/>
  <c r="F205" i="2" s="1"/>
  <c r="B206" i="2" s="1"/>
  <c r="D206" i="2" l="1"/>
  <c r="E206" i="2" s="1"/>
  <c r="F206" i="2" s="1"/>
  <c r="B207" i="2" s="1"/>
  <c r="D207" i="2" l="1"/>
  <c r="E207" i="2" s="1"/>
  <c r="F207" i="2" s="1"/>
  <c r="B208" i="2" s="1"/>
  <c r="D208" i="2" l="1"/>
  <c r="E208" i="2" s="1"/>
  <c r="F208" i="2" s="1"/>
  <c r="B209" i="2" s="1"/>
  <c r="D209" i="2" l="1"/>
  <c r="E209" i="2" s="1"/>
  <c r="F209" i="2" s="1"/>
  <c r="B210" i="2" s="1"/>
  <c r="D210" i="2" l="1"/>
  <c r="E210" i="2" s="1"/>
  <c r="F210" i="2"/>
  <c r="B211" i="2" s="1"/>
  <c r="D211" i="2" l="1"/>
  <c r="E211" i="2" s="1"/>
  <c r="F211" i="2" s="1"/>
  <c r="B212" i="2" s="1"/>
  <c r="D212" i="2" l="1"/>
  <c r="E212" i="2" s="1"/>
  <c r="F212" i="2" s="1"/>
  <c r="B213" i="2" s="1"/>
  <c r="D213" i="2" l="1"/>
  <c r="E213" i="2" s="1"/>
  <c r="F213" i="2" s="1"/>
  <c r="B214" i="2" s="1"/>
  <c r="D214" i="2" l="1"/>
  <c r="E214" i="2" s="1"/>
  <c r="F214" i="2" s="1"/>
  <c r="B215" i="2" s="1"/>
  <c r="D215" i="2" l="1"/>
  <c r="E215" i="2" s="1"/>
  <c r="F215" i="2"/>
  <c r="B216" i="2" s="1"/>
  <c r="D216" i="2" l="1"/>
  <c r="E216" i="2" s="1"/>
  <c r="F216" i="2" s="1"/>
  <c r="B217" i="2" s="1"/>
  <c r="D217" i="2" l="1"/>
  <c r="E217" i="2" s="1"/>
  <c r="F217" i="2" s="1"/>
  <c r="B218" i="2" s="1"/>
  <c r="D218" i="2" l="1"/>
  <c r="E218" i="2" s="1"/>
  <c r="F218" i="2" s="1"/>
  <c r="B219" i="2" s="1"/>
  <c r="D219" i="2" l="1"/>
  <c r="E219" i="2" s="1"/>
  <c r="F219" i="2" s="1"/>
  <c r="B220" i="2" s="1"/>
  <c r="D220" i="2" l="1"/>
  <c r="E220" i="2" s="1"/>
  <c r="F220" i="2" s="1"/>
  <c r="B221" i="2" s="1"/>
  <c r="D221" i="2" l="1"/>
  <c r="E221" i="2" s="1"/>
  <c r="F221" i="2" s="1"/>
  <c r="B222" i="2" s="1"/>
  <c r="D222" i="2" l="1"/>
  <c r="E222" i="2" s="1"/>
  <c r="F222" i="2" s="1"/>
  <c r="B223" i="2" s="1"/>
  <c r="D223" i="2" l="1"/>
  <c r="E223" i="2" s="1"/>
  <c r="F223" i="2"/>
  <c r="B224" i="2" s="1"/>
  <c r="D224" i="2" l="1"/>
  <c r="E224" i="2" s="1"/>
  <c r="F224" i="2" s="1"/>
  <c r="B225" i="2" s="1"/>
  <c r="D225" i="2" l="1"/>
  <c r="E225" i="2" s="1"/>
  <c r="F225" i="2" s="1"/>
  <c r="B226" i="2" s="1"/>
  <c r="D226" i="2" l="1"/>
  <c r="E226" i="2" s="1"/>
  <c r="F226" i="2" s="1"/>
  <c r="B227" i="2" s="1"/>
  <c r="D227" i="2" l="1"/>
  <c r="E227" i="2" s="1"/>
  <c r="F227" i="2" s="1"/>
  <c r="B228" i="2" s="1"/>
  <c r="D228" i="2" l="1"/>
  <c r="E228" i="2" s="1"/>
  <c r="F228" i="2"/>
  <c r="B229" i="2" s="1"/>
  <c r="D229" i="2" l="1"/>
  <c r="E229" i="2" s="1"/>
  <c r="F229" i="2" s="1"/>
  <c r="B230" i="2" s="1"/>
  <c r="D230" i="2" l="1"/>
  <c r="E230" i="2" s="1"/>
  <c r="F230" i="2" s="1"/>
  <c r="B231" i="2" s="1"/>
  <c r="D231" i="2" l="1"/>
  <c r="E231" i="2" s="1"/>
  <c r="F231" i="2"/>
  <c r="B232" i="2" s="1"/>
  <c r="D232" i="2" l="1"/>
  <c r="E232" i="2" s="1"/>
  <c r="F232" i="2" s="1"/>
  <c r="B233" i="2" s="1"/>
  <c r="D233" i="2" l="1"/>
  <c r="E233" i="2" s="1"/>
  <c r="F233" i="2" s="1"/>
  <c r="B234" i="2" s="1"/>
  <c r="D234" i="2" l="1"/>
  <c r="E234" i="2" s="1"/>
  <c r="F234" i="2" s="1"/>
  <c r="B235" i="2" s="1"/>
  <c r="D235" i="2" l="1"/>
  <c r="E235" i="2" s="1"/>
  <c r="F235" i="2"/>
  <c r="B236" i="2" s="1"/>
  <c r="D236" i="2" l="1"/>
  <c r="E236" i="2" s="1"/>
  <c r="F236" i="2" s="1"/>
  <c r="B237" i="2" s="1"/>
  <c r="D237" i="2" l="1"/>
  <c r="E237" i="2" s="1"/>
  <c r="F237" i="2" s="1"/>
  <c r="B238" i="2" s="1"/>
  <c r="D238" i="2" l="1"/>
  <c r="E238" i="2" s="1"/>
  <c r="F238" i="2" s="1"/>
  <c r="B239" i="2" s="1"/>
  <c r="D239" i="2" l="1"/>
  <c r="E239" i="2" s="1"/>
  <c r="F239" i="2"/>
  <c r="B240" i="2" s="1"/>
  <c r="D240" i="2" l="1"/>
  <c r="E240" i="2" s="1"/>
  <c r="F240" i="2"/>
  <c r="B241" i="2" s="1"/>
  <c r="D241" i="2" l="1"/>
  <c r="E241" i="2" s="1"/>
  <c r="F241" i="2" s="1"/>
  <c r="B242" i="2" s="1"/>
  <c r="D242" i="2" l="1"/>
  <c r="E242" i="2" s="1"/>
  <c r="F242" i="2" s="1"/>
  <c r="B243" i="2" s="1"/>
  <c r="D243" i="2" l="1"/>
  <c r="E243" i="2" s="1"/>
  <c r="F243" i="2" s="1"/>
  <c r="B244" i="2" s="1"/>
  <c r="D244" i="2" l="1"/>
  <c r="E244" i="2" s="1"/>
  <c r="F244" i="2" s="1"/>
  <c r="B245" i="2" s="1"/>
  <c r="D245" i="2" l="1"/>
  <c r="E245" i="2" s="1"/>
  <c r="F245" i="2" s="1"/>
  <c r="B246" i="2" s="1"/>
  <c r="D246" i="2" l="1"/>
  <c r="E246" i="2" s="1"/>
  <c r="F246" i="2" s="1"/>
  <c r="B247" i="2" s="1"/>
  <c r="D247" i="2" l="1"/>
  <c r="E247" i="2" s="1"/>
  <c r="F247" i="2" s="1"/>
  <c r="B248" i="2" s="1"/>
  <c r="D248" i="2" l="1"/>
  <c r="E248" i="2" s="1"/>
  <c r="F248" i="2" s="1"/>
  <c r="B249" i="2" s="1"/>
  <c r="D249" i="2" l="1"/>
  <c r="E249" i="2" s="1"/>
  <c r="F249" i="2" s="1"/>
  <c r="B250" i="2" s="1"/>
  <c r="D250" i="2" l="1"/>
  <c r="E250" i="2" s="1"/>
  <c r="F250" i="2" s="1"/>
  <c r="B251" i="2" s="1"/>
  <c r="D251" i="2" l="1"/>
  <c r="E251" i="2" s="1"/>
  <c r="F251" i="2"/>
  <c r="B252" i="2" s="1"/>
  <c r="D252" i="2" l="1"/>
  <c r="E252" i="2" s="1"/>
  <c r="F252" i="2"/>
  <c r="B253" i="2" s="1"/>
  <c r="D253" i="2" l="1"/>
  <c r="E253" i="2" s="1"/>
  <c r="F253" i="2" s="1"/>
  <c r="B254" i="2" s="1"/>
  <c r="D254" i="2" l="1"/>
  <c r="E254" i="2" s="1"/>
  <c r="F254" i="2" s="1"/>
  <c r="B255" i="2" s="1"/>
  <c r="D255" i="2" l="1"/>
  <c r="E255" i="2" s="1"/>
  <c r="F255" i="2" s="1"/>
  <c r="B256" i="2" s="1"/>
  <c r="D256" i="2" l="1"/>
  <c r="E256" i="2" s="1"/>
  <c r="F256" i="2" s="1"/>
  <c r="B257" i="2" s="1"/>
  <c r="D257" i="2" l="1"/>
  <c r="E257" i="2" s="1"/>
  <c r="F257" i="2"/>
  <c r="B258" i="2" s="1"/>
  <c r="D258" i="2" l="1"/>
  <c r="E258" i="2" s="1"/>
  <c r="F258" i="2" s="1"/>
  <c r="B259" i="2" s="1"/>
  <c r="D259" i="2" l="1"/>
  <c r="E259" i="2" s="1"/>
  <c r="F259" i="2" s="1"/>
  <c r="B260" i="2" s="1"/>
  <c r="D260" i="2" l="1"/>
  <c r="E260" i="2" s="1"/>
  <c r="F260" i="2" s="1"/>
  <c r="B261" i="2" s="1"/>
  <c r="D261" i="2" l="1"/>
  <c r="E261" i="2" s="1"/>
  <c r="F261" i="2" s="1"/>
  <c r="B262" i="2" s="1"/>
  <c r="D262" i="2" l="1"/>
  <c r="E262" i="2" s="1"/>
  <c r="F262" i="2" s="1"/>
  <c r="B263" i="2" s="1"/>
  <c r="D263" i="2" l="1"/>
  <c r="E263" i="2" s="1"/>
  <c r="F263" i="2" s="1"/>
  <c r="B264" i="2" s="1"/>
  <c r="D264" i="2" l="1"/>
  <c r="E264" i="2" s="1"/>
  <c r="F264" i="2" s="1"/>
  <c r="B265" i="2" s="1"/>
  <c r="D265" i="2" l="1"/>
  <c r="E265" i="2" s="1"/>
  <c r="F265" i="2" s="1"/>
  <c r="B266" i="2" s="1"/>
  <c r="D266" i="2" l="1"/>
  <c r="E266" i="2" s="1"/>
  <c r="F266" i="2" s="1"/>
  <c r="B267" i="2" s="1"/>
  <c r="D267" i="2" l="1"/>
  <c r="E267" i="2" s="1"/>
  <c r="F267" i="2" s="1"/>
  <c r="B268" i="2" s="1"/>
  <c r="D268" i="2" l="1"/>
  <c r="E268" i="2" s="1"/>
  <c r="F268" i="2" s="1"/>
  <c r="B269" i="2" s="1"/>
  <c r="D269" i="2" l="1"/>
  <c r="E269" i="2" s="1"/>
  <c r="F269" i="2"/>
  <c r="B270" i="2" s="1"/>
  <c r="D270" i="2" l="1"/>
  <c r="E270" i="2" s="1"/>
  <c r="F270" i="2" s="1"/>
  <c r="B271" i="2" s="1"/>
  <c r="D271" i="2" l="1"/>
  <c r="E271" i="2" s="1"/>
  <c r="F271" i="2"/>
  <c r="B272" i="2" s="1"/>
  <c r="D272" i="2" l="1"/>
  <c r="E272" i="2" s="1"/>
  <c r="F272" i="2" s="1"/>
  <c r="B273" i="2" s="1"/>
  <c r="D273" i="2" l="1"/>
  <c r="E273" i="2" s="1"/>
  <c r="F273" i="2" s="1"/>
  <c r="B274" i="2" s="1"/>
  <c r="D274" i="2" l="1"/>
  <c r="E274" i="2" s="1"/>
  <c r="F274" i="2" s="1"/>
  <c r="B275" i="2" s="1"/>
  <c r="D275" i="2" l="1"/>
  <c r="E275" i="2" s="1"/>
  <c r="F275" i="2" s="1"/>
  <c r="B276" i="2" s="1"/>
  <c r="D276" i="2" l="1"/>
  <c r="E276" i="2" s="1"/>
  <c r="F276" i="2"/>
  <c r="B277" i="2" s="1"/>
  <c r="D277" i="2" l="1"/>
  <c r="E277" i="2" s="1"/>
  <c r="F277" i="2" s="1"/>
  <c r="B278" i="2" s="1"/>
  <c r="D278" i="2" l="1"/>
  <c r="E278" i="2" s="1"/>
  <c r="F278" i="2" s="1"/>
  <c r="B279" i="2" s="1"/>
  <c r="D279" i="2" l="1"/>
  <c r="E279" i="2" s="1"/>
  <c r="F279" i="2" s="1"/>
  <c r="B280" i="2" s="1"/>
  <c r="D280" i="2" l="1"/>
  <c r="E280" i="2" s="1"/>
  <c r="F280" i="2" s="1"/>
  <c r="B281" i="2" s="1"/>
  <c r="D281" i="2" l="1"/>
  <c r="E281" i="2" s="1"/>
  <c r="F281" i="2" s="1"/>
  <c r="B282" i="2" s="1"/>
  <c r="D282" i="2" l="1"/>
  <c r="E282" i="2" s="1"/>
  <c r="F282" i="2" s="1"/>
  <c r="B283" i="2" s="1"/>
  <c r="D283" i="2" l="1"/>
  <c r="E283" i="2" s="1"/>
  <c r="F283" i="2"/>
  <c r="B284" i="2" s="1"/>
  <c r="D284" i="2" l="1"/>
  <c r="E284" i="2" s="1"/>
  <c r="F284" i="2" s="1"/>
  <c r="B285" i="2" s="1"/>
  <c r="D285" i="2" l="1"/>
  <c r="E285" i="2" s="1"/>
  <c r="F285" i="2" s="1"/>
  <c r="B286" i="2" s="1"/>
  <c r="D286" i="2" l="1"/>
  <c r="E286" i="2" s="1"/>
  <c r="F286" i="2" s="1"/>
  <c r="B287" i="2" s="1"/>
  <c r="D287" i="2" l="1"/>
  <c r="E287" i="2" s="1"/>
  <c r="F287" i="2" s="1"/>
  <c r="B288" i="2" s="1"/>
  <c r="D288" i="2" l="1"/>
  <c r="E288" i="2" s="1"/>
  <c r="F288" i="2" s="1"/>
  <c r="B289" i="2" s="1"/>
  <c r="D289" i="2" l="1"/>
  <c r="E289" i="2" s="1"/>
  <c r="F289" i="2" s="1"/>
  <c r="B290" i="2" s="1"/>
  <c r="D290" i="2" l="1"/>
  <c r="E290" i="2" s="1"/>
  <c r="F290" i="2" s="1"/>
  <c r="B291" i="2" s="1"/>
  <c r="D291" i="2" l="1"/>
  <c r="E291" i="2" s="1"/>
  <c r="F291" i="2" s="1"/>
  <c r="B292" i="2" s="1"/>
  <c r="D292" i="2" l="1"/>
  <c r="E292" i="2" s="1"/>
  <c r="F292" i="2" s="1"/>
  <c r="B293" i="2" s="1"/>
  <c r="D293" i="2" l="1"/>
  <c r="E293" i="2" s="1"/>
  <c r="F293" i="2" s="1"/>
  <c r="B294" i="2" s="1"/>
  <c r="D294" i="2" l="1"/>
  <c r="E294" i="2" s="1"/>
  <c r="F294" i="2" s="1"/>
  <c r="B295" i="2" s="1"/>
  <c r="D295" i="2" l="1"/>
  <c r="E295" i="2" s="1"/>
  <c r="F295" i="2"/>
  <c r="B296" i="2" s="1"/>
  <c r="D296" i="2" l="1"/>
  <c r="E296" i="2" s="1"/>
  <c r="F296" i="2" s="1"/>
  <c r="B297" i="2" s="1"/>
  <c r="D297" i="2" l="1"/>
  <c r="E297" i="2" s="1"/>
  <c r="F297" i="2" s="1"/>
  <c r="B298" i="2" s="1"/>
  <c r="D298" i="2" l="1"/>
  <c r="E298" i="2" s="1"/>
  <c r="F298" i="2"/>
  <c r="B299" i="2" s="1"/>
  <c r="D299" i="2" l="1"/>
  <c r="E299" i="2" s="1"/>
  <c r="F299" i="2" s="1"/>
  <c r="B300" i="2" s="1"/>
  <c r="D300" i="2" l="1"/>
  <c r="E300" i="2" s="1"/>
  <c r="F300" i="2"/>
  <c r="B301" i="2" s="1"/>
  <c r="D301" i="2" l="1"/>
  <c r="E301" i="2" s="1"/>
  <c r="F301" i="2" s="1"/>
  <c r="B302" i="2" s="1"/>
  <c r="D302" i="2" l="1"/>
  <c r="E302" i="2" s="1"/>
  <c r="F302" i="2" s="1"/>
  <c r="B303" i="2" s="1"/>
  <c r="D303" i="2" l="1"/>
  <c r="E303" i="2" s="1"/>
  <c r="F303" i="2" s="1"/>
  <c r="B304" i="2" s="1"/>
  <c r="D304" i="2" l="1"/>
  <c r="E304" i="2" s="1"/>
  <c r="F304" i="2" s="1"/>
  <c r="B305" i="2" s="1"/>
  <c r="D305" i="2" l="1"/>
  <c r="E305" i="2" s="1"/>
  <c r="F305" i="2" s="1"/>
  <c r="B306" i="2" s="1"/>
  <c r="D306" i="2" l="1"/>
  <c r="E306" i="2" s="1"/>
  <c r="F306" i="2" s="1"/>
  <c r="B307" i="2" s="1"/>
  <c r="D307" i="2" l="1"/>
  <c r="E307" i="2" s="1"/>
  <c r="F307" i="2" s="1"/>
  <c r="B308" i="2" s="1"/>
  <c r="D308" i="2" l="1"/>
  <c r="E308" i="2" s="1"/>
  <c r="F308" i="2" s="1"/>
  <c r="B309" i="2" s="1"/>
  <c r="D309" i="2" l="1"/>
  <c r="E309" i="2" s="1"/>
  <c r="F309" i="2" s="1"/>
  <c r="B310" i="2" s="1"/>
  <c r="D310" i="2" l="1"/>
  <c r="E310" i="2" s="1"/>
  <c r="F310" i="2" s="1"/>
  <c r="B311" i="2" s="1"/>
  <c r="D311" i="2" l="1"/>
  <c r="E311" i="2" s="1"/>
  <c r="F311" i="2" s="1"/>
  <c r="B312" i="2" s="1"/>
  <c r="D312" i="2" l="1"/>
  <c r="E312" i="2" s="1"/>
  <c r="F312" i="2" s="1"/>
  <c r="B313" i="2" s="1"/>
  <c r="D313" i="2" l="1"/>
  <c r="E313" i="2" s="1"/>
  <c r="F313" i="2" s="1"/>
  <c r="B314" i="2" s="1"/>
  <c r="D314" i="2" l="1"/>
  <c r="E314" i="2" s="1"/>
  <c r="F314" i="2" s="1"/>
  <c r="B315" i="2" s="1"/>
  <c r="D315" i="2" l="1"/>
  <c r="E315" i="2" s="1"/>
  <c r="F315" i="2" s="1"/>
  <c r="B316" i="2" s="1"/>
  <c r="D316" i="2" l="1"/>
  <c r="E316" i="2" s="1"/>
  <c r="F316" i="2" s="1"/>
  <c r="B317" i="2" s="1"/>
  <c r="D317" i="2" l="1"/>
  <c r="E317" i="2" s="1"/>
  <c r="F317" i="2" s="1"/>
  <c r="B318" i="2" s="1"/>
  <c r="D318" i="2" l="1"/>
  <c r="E318" i="2" s="1"/>
  <c r="F318" i="2"/>
  <c r="B319" i="2" s="1"/>
  <c r="D319" i="2" l="1"/>
  <c r="E319" i="2" s="1"/>
  <c r="F319" i="2"/>
  <c r="B320" i="2" s="1"/>
  <c r="D320" i="2" l="1"/>
  <c r="E320" i="2" s="1"/>
  <c r="F320" i="2" s="1"/>
  <c r="B321" i="2" s="1"/>
  <c r="D321" i="2" l="1"/>
  <c r="E321" i="2" s="1"/>
  <c r="F321" i="2" s="1"/>
  <c r="B322" i="2" s="1"/>
  <c r="D322" i="2" l="1"/>
  <c r="E322" i="2" s="1"/>
  <c r="F322" i="2" s="1"/>
  <c r="B323" i="2" s="1"/>
  <c r="D323" i="2" l="1"/>
  <c r="E323" i="2" s="1"/>
  <c r="F323" i="2" s="1"/>
  <c r="B324" i="2" s="1"/>
  <c r="D324" i="2" l="1"/>
  <c r="E324" i="2" s="1"/>
  <c r="F324" i="2" s="1"/>
  <c r="B325" i="2" s="1"/>
  <c r="D325" i="2" l="1"/>
  <c r="E325" i="2" s="1"/>
  <c r="F325" i="2" s="1"/>
  <c r="B326" i="2" s="1"/>
  <c r="D326" i="2" l="1"/>
  <c r="E326" i="2" s="1"/>
  <c r="F326" i="2" s="1"/>
  <c r="B327" i="2" s="1"/>
  <c r="D327" i="2" l="1"/>
  <c r="E327" i="2" s="1"/>
  <c r="F327" i="2" s="1"/>
  <c r="B328" i="2" s="1"/>
  <c r="D328" i="2" l="1"/>
  <c r="E328" i="2" s="1"/>
  <c r="F328" i="2" s="1"/>
  <c r="B329" i="2" s="1"/>
  <c r="D329" i="2" l="1"/>
  <c r="E329" i="2" s="1"/>
  <c r="F329" i="2" s="1"/>
  <c r="B330" i="2" s="1"/>
  <c r="D330" i="2" l="1"/>
  <c r="E330" i="2" s="1"/>
  <c r="F330" i="2" s="1"/>
  <c r="B331" i="2" s="1"/>
  <c r="D331" i="2" l="1"/>
  <c r="E331" i="2" s="1"/>
  <c r="F331" i="2" s="1"/>
  <c r="B332" i="2" s="1"/>
  <c r="D332" i="2" l="1"/>
  <c r="E332" i="2" s="1"/>
  <c r="F332" i="2" s="1"/>
  <c r="B333" i="2" s="1"/>
  <c r="D333" i="2" l="1"/>
  <c r="E333" i="2" s="1"/>
  <c r="F333" i="2" s="1"/>
  <c r="B334" i="2" s="1"/>
  <c r="D334" i="2" l="1"/>
  <c r="E334" i="2" s="1"/>
  <c r="F334" i="2" s="1"/>
  <c r="B335" i="2" s="1"/>
  <c r="D335" i="2" l="1"/>
  <c r="E335" i="2" s="1"/>
  <c r="F335" i="2" s="1"/>
  <c r="B336" i="2" s="1"/>
  <c r="D336" i="2" l="1"/>
  <c r="E336" i="2" s="1"/>
  <c r="F336" i="2" s="1"/>
  <c r="B337" i="2" s="1"/>
  <c r="D337" i="2" l="1"/>
  <c r="E337" i="2" s="1"/>
  <c r="F337" i="2" s="1"/>
  <c r="B338" i="2" s="1"/>
  <c r="D338" i="2" l="1"/>
  <c r="E338" i="2" s="1"/>
  <c r="F338" i="2" s="1"/>
  <c r="B339" i="2" s="1"/>
  <c r="D339" i="2" l="1"/>
  <c r="E339" i="2" s="1"/>
  <c r="F339" i="2"/>
  <c r="B340" i="2" s="1"/>
  <c r="D340" i="2" l="1"/>
  <c r="E340" i="2" s="1"/>
  <c r="F340" i="2" s="1"/>
  <c r="B341" i="2" s="1"/>
  <c r="D341" i="2" l="1"/>
  <c r="E341" i="2" s="1"/>
  <c r="F341" i="2" s="1"/>
  <c r="B342" i="2" s="1"/>
  <c r="D342" i="2" l="1"/>
  <c r="E342" i="2" s="1"/>
  <c r="F342" i="2" s="1"/>
  <c r="B343" i="2" s="1"/>
  <c r="D343" i="2" l="1"/>
  <c r="E343" i="2" s="1"/>
  <c r="F343" i="2"/>
  <c r="B344" i="2" s="1"/>
  <c r="D344" i="2" l="1"/>
  <c r="E344" i="2" s="1"/>
  <c r="F344" i="2" s="1"/>
  <c r="B345" i="2" s="1"/>
  <c r="D345" i="2" l="1"/>
  <c r="E345" i="2" s="1"/>
  <c r="F345" i="2" s="1"/>
  <c r="B346" i="2" s="1"/>
  <c r="D346" i="2" l="1"/>
  <c r="E346" i="2" s="1"/>
  <c r="F346" i="2" s="1"/>
  <c r="B347" i="2" s="1"/>
  <c r="D347" i="2" l="1"/>
  <c r="E347" i="2" s="1"/>
  <c r="F347" i="2" s="1"/>
  <c r="B348" i="2" s="1"/>
  <c r="D348" i="2" l="1"/>
  <c r="E348" i="2" s="1"/>
  <c r="F348" i="2" s="1"/>
  <c r="B349" i="2" s="1"/>
  <c r="D349" i="2" l="1"/>
  <c r="E349" i="2" s="1"/>
  <c r="F349" i="2" s="1"/>
  <c r="B350" i="2" s="1"/>
  <c r="D350" i="2" l="1"/>
  <c r="E350" i="2" s="1"/>
  <c r="F350" i="2" s="1"/>
  <c r="B351" i="2" s="1"/>
  <c r="D351" i="2" l="1"/>
  <c r="E351" i="2" s="1"/>
  <c r="F351" i="2"/>
  <c r="B352" i="2" s="1"/>
  <c r="D352" i="2" l="1"/>
  <c r="E352" i="2" s="1"/>
  <c r="F352" i="2" s="1"/>
  <c r="B353" i="2" s="1"/>
  <c r="D353" i="2" l="1"/>
  <c r="E353" i="2" s="1"/>
  <c r="F353" i="2" s="1"/>
  <c r="B354" i="2" s="1"/>
  <c r="D354" i="2" l="1"/>
  <c r="E354" i="2" s="1"/>
  <c r="F354" i="2" s="1"/>
  <c r="B355" i="2" s="1"/>
  <c r="D355" i="2" l="1"/>
  <c r="E355" i="2" s="1"/>
  <c r="F355" i="2" s="1"/>
  <c r="B356" i="2" s="1"/>
  <c r="D356" i="2" l="1"/>
  <c r="E356" i="2" s="1"/>
  <c r="F356" i="2"/>
  <c r="B357" i="2" s="1"/>
  <c r="D357" i="2" l="1"/>
  <c r="E357" i="2" s="1"/>
  <c r="F357" i="2"/>
  <c r="B358" i="2" s="1"/>
  <c r="D358" i="2" l="1"/>
  <c r="E358" i="2" s="1"/>
  <c r="F358" i="2" s="1"/>
  <c r="B359" i="2" s="1"/>
  <c r="D359" i="2" l="1"/>
  <c r="E359" i="2" s="1"/>
  <c r="F359" i="2" s="1"/>
  <c r="B360" i="2" s="1"/>
  <c r="D360" i="2" l="1"/>
  <c r="E360" i="2" s="1"/>
  <c r="F360" i="2" s="1"/>
  <c r="B361" i="2" s="1"/>
  <c r="D361" i="2" l="1"/>
  <c r="E361" i="2" s="1"/>
  <c r="F361" i="2"/>
</calcChain>
</file>

<file path=xl/sharedStrings.xml><?xml version="1.0" encoding="utf-8"?>
<sst xmlns="http://schemas.openxmlformats.org/spreadsheetml/2006/main" count="85" uniqueCount="83">
  <si>
    <t>סימולציה: מחיר מטרה מול השקעה ב-S&amp;P 500</t>
  </si>
  <si>
    <t>נתוני הדירה (מחיר מטרה)</t>
  </si>
  <si>
    <t>מחיר רכישה (מחיר מטרה)</t>
  </si>
  <si>
    <t>מחיר שוק נוכחי (להשוואה / ערך ההנחה)</t>
  </si>
  <si>
    <t>עליית מחירי הדיור בפועל - שנתי (אזור/פרויקט)</t>
  </si>
  <si>
    <t>שיעור עליית הערך השנתי הצפוי של הדירה - גם לחישוב שווי הדירה בעתיד וגם לבסיס מס שבח</t>
  </si>
  <si>
    <t>תקופת החזקה לבחינה (שנים)</t>
  </si>
  <si>
    <t>מימון - משכנתא</t>
  </si>
  <si>
    <t>הון עצמי</t>
  </si>
  <si>
    <t>סכום משכנתא</t>
  </si>
  <si>
    <t>תקופת משכנתא (שנים)</t>
  </si>
  <si>
    <t>ריבית משכנתא שנתית (ממוצעת משוקללת)</t>
  </si>
  <si>
    <t>הוצאות חד-פעמיות ברכישה</t>
  </si>
  <si>
    <t>מדד תשומות הבנייה (לתקופת הבנייה)</t>
  </si>
  <si>
    <t>שדרוגים</t>
  </si>
  <si>
    <t>עו"ד והוצאות רכישה (כולל מס רכישה אם חל)</t>
  </si>
  <si>
    <t>ריהוט ומזגנים</t>
  </si>
  <si>
    <t>סה"כ הוצאות חד פעמיות</t>
  </si>
  <si>
    <t>סה"כ הון "ננעל" בדירה (הון עצמי + הוצאות חד פעמיות)</t>
  </si>
  <si>
    <t>הוצאות שוטפות חודשיות על הדירה</t>
  </si>
  <si>
    <t>ביטוח (מבנה + חיים) - חודשי</t>
  </si>
  <si>
    <t>ועד בית / אחזקה - חודשי</t>
  </si>
  <si>
    <t>סה"כ הוצאות שוטפות חודשי</t>
  </si>
  <si>
    <t>שכירות</t>
  </si>
  <si>
    <t>שכר דירה נוכחי - אם תמשיך לגור בשכירות</t>
  </si>
  <si>
    <t>אם תקנה ותגור בדירה - זה שכר הדירה שתחסוך / שתשתמש לצורך השוואה</t>
  </si>
  <si>
    <t>עליית שכר דירה שנתית</t>
  </si>
  <si>
    <t>הכנסה משכירות חודשית - אם תשכיר את הדירה החדשה</t>
  </si>
  <si>
    <t>חודשי ריקנות בשנה (ללא שוכר)</t>
  </si>
  <si>
    <t>לדוגמה 0.5 = חצי חודש בשנה ללא שוכר</t>
  </si>
  <si>
    <t>מיסוי במכירת הדירה (מס שבח)</t>
  </si>
  <si>
    <t>שיעור מס שבח על רווח ההון</t>
  </si>
  <si>
    <t>שיעור מס שבח סטנדרטי על מכירת דירה שאינה פטורה (בפועל בד"כ 25% מהרווח הריאלי)</t>
  </si>
  <si>
    <t>פטור ממס שבח - דירה יחידה? (1=פטור, 0=לא פטור)</t>
  </si>
  <si>
    <t>ברוב פרויקטי מחיר מטרה מחויבים שזו תהיה דירתכם היחידה לכל תקופת ההגבלה, ולכן בד"כ פטור מלא</t>
  </si>
  <si>
    <t>שוק ההון</t>
  </si>
  <si>
    <t>תשואה שנתית ממוצעת - S&amp;P 500</t>
  </si>
  <si>
    <t>תוצאות מחושבות</t>
  </si>
  <si>
    <t>תשלום משכנתא חודשי (שפיצר)</t>
  </si>
  <si>
    <t>תשואה חודשית שקולה - S&amp;P 500</t>
  </si>
  <si>
    <t>הנחה משוערת ממחיר השוק</t>
  </si>
  <si>
    <t>הערה: כל התאים הכחולים הם פרמטרים שניתן וכדאי לשנות. כל שאר התאים מחושבים אוטומטית.</t>
  </si>
  <si>
    <t>חודש</t>
  </si>
  <si>
    <t>יתרה בתחילת חודש</t>
  </si>
  <si>
    <t>תשלום חודשי</t>
  </si>
  <si>
    <t>ריבית</t>
  </si>
  <si>
    <t>קרן</t>
  </si>
  <si>
    <t>יתרה בסוף חודש</t>
  </si>
  <si>
    <t>שנה</t>
  </si>
  <si>
    <t>תשלום משכנתא</t>
  </si>
  <si>
    <t>הוצאות שוטפות</t>
  </si>
  <si>
    <t>יתרת משכנתא</t>
  </si>
  <si>
    <t>שווי הדירה</t>
  </si>
  <si>
    <t>הון עצמי בדירה (לפני מס)</t>
  </si>
  <si>
    <t>שכ"ד חלופי (אם גר בשכירות)</t>
  </si>
  <si>
    <t>הכנסה משכירות (נטו ממקדמי ריקנות)</t>
  </si>
  <si>
    <t>תזרים פנוי - מסלול S&amp;P (C)</t>
  </si>
  <si>
    <t>תזרים פנוי - מסלול השכרה (B)</t>
  </si>
  <si>
    <t>תיק S&amp;P - מסלול C</t>
  </si>
  <si>
    <t>תיק S&amp;P - מסלול B</t>
  </si>
  <si>
    <t>רווח הון לפני מס (אם נמכר היום)</t>
  </si>
  <si>
    <t>מס שבח (אם נמכר היום)</t>
  </si>
  <si>
    <t>שווי נטו - מסלול A (גר בדירה)</t>
  </si>
  <si>
    <t>שווי נטו - מסלול B (משכיר את הדירה)</t>
  </si>
  <si>
    <t>שווי נטו - מסלול C (לא קונה, משקיע ב-S&amp;P)</t>
  </si>
  <si>
    <t>דשבורד השוואה - מחיר מטרה מול S&amp;P 500</t>
  </si>
  <si>
    <t>הסבר שלושת המסלולים:</t>
  </si>
  <si>
    <t>מסלול A - "גר בדירה": קונים את דירת מחיר מטרה וגרים בה. השווי הנטו = הון עצמי בדירה (שווי שוק פחות יתרת משכנתא).</t>
  </si>
  <si>
    <t>מסלול B - "משכיר": קונים את הדירה אך משכירים אותה, וגרים בשכירות במקום אחר. השווי הנטו = הון עצמי בדירה (נטו ממס שבח) + תיק השקעות שמתחיל מ-600 אלף ש"ח (ההון העצמי) ונובע מהפרש תזרים (הכנסה משכירות פחות הוצאות הדירה פחות שכר הדירה ששולם).</t>
  </si>
  <si>
    <t>מסלול C - "לא קונים": לא משתתפים בהגרלה, ממשיכים לגור בשכירות, ומשקיעים את ההון העצמי (600 אלף ש"ח לפי הדוגמה) ב-S&amp;P 500, בתוספת הפרש חודשי בין עלות "הדירה" (משכנתא+הוצאות) לשכר הדירה בפועל. ההוצאות החד-פעמיות (מדד תשומות, שדרוגים וכו') ממומנות בנפרד ולכן לא מנוכות מסכום ההשקעה הראשוני.</t>
  </si>
  <si>
    <t>מס שבח: בדף "נתונים" ניתן להגדיר את שיעור המס ואת הפטור (דירה יחידה). אם יש פטור (1), הוא לא מנוכה מהשווי הנטו. אם אין פטור (0), מנוכה מס על הרווח (שווי הדירה בעתיד פחות מחיר רכישה ועלויות חד-פעמיות) במסלולים A ו-B.</t>
  </si>
  <si>
    <t>מסלול A - גר בדירה</t>
  </si>
  <si>
    <t>מסלול B - משכיר</t>
  </si>
  <si>
    <t>מסלול C - לא קונה (S&amp;P)</t>
  </si>
  <si>
    <t>סיכום שנה אחרונה</t>
  </si>
  <si>
    <t>שווי נטו לאחר תקופת ההחזקה</t>
  </si>
  <si>
    <t>הפרש B מול A</t>
  </si>
  <si>
    <t>הפרש C מול A</t>
  </si>
  <si>
    <t>המסלול המנצח</t>
  </si>
  <si>
    <t>שנה ראשונה בה מסלול C עוקף את מסלול A</t>
  </si>
  <si>
    <t>A-C</t>
  </si>
  <si>
    <t>B-C</t>
  </si>
  <si>
    <t>אחוז מימון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</si>
</sst>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quot;;\(#,##0&quot; ₪)&quot;;\-"/>
    <numFmt numFmtId="165" formatCode="0.0%"/>
    <numFmt numFmtId="166" formatCode="0.0"/>
  </numFmts>
  <fonts count="9" x14ac:knownFonts="1">
    <font>
      <sz val="11"/>
      <color theme="1"/>
      <name val="Calibri"/>
      <family val="2"/>
      <charset val="1"/>
    </font>
    <font>
      <b/>
      <sz val="14"/>
      <name val="Arial"/>
      <charset val="1"/>
    </font>
    <font>
      <b/>
      <sz val="11"/>
      <color rgb="FF1F4E78"/>
      <name val="Arial"/>
      <charset val="1"/>
    </font>
    <font>
      <sz val="11"/>
      <color rgb="FF000000"/>
      <name val="Arial"/>
      <charset val="1"/>
    </font>
    <font>
      <sz val="11"/>
      <color rgb="FF0000FF"/>
      <name val="Arial"/>
      <charset val="1"/>
    </font>
    <font>
      <i/>
      <sz val="9"/>
      <color rgb="FF808080"/>
      <name val="Arial"/>
      <charset val="1"/>
    </font>
    <font>
      <b/>
      <sz val="11"/>
      <name val="Arial"/>
      <charset val="1"/>
    </font>
    <font>
      <b/>
      <sz val="11"/>
      <color rgb="FFFFFFFF"/>
      <name val="Arial"/>
      <charset val="1"/>
    </font>
    <font>
      <sz val="11"/>
      <color rgb="FF008000"/>
      <name val="Arial"/>
      <charset val="1"/>
    </font>
  </fonts>
  <fills count="4">
    <fill>
      <patternFill patternType="none"/>
    </fill>
    <fill>
      <patternFill patternType="gray125"/>
    </fill>
    <fill>
      <patternFill patternType="solid">
        <fgColor rgb="FFD9E1F2"/>
        <bgColor rgb="FFD9D9D9"/>
      </patternFill>
    </fill>
    <fill>
      <patternFill patternType="solid">
        <fgColor rgb="FF1F4E78"/>
        <bgColor rgb="FF00336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5" fillId="0" borderId="0" xfId="0" applyFont="1"/>
    <xf numFmtId="0" fontId="1" fillId="0" borderId="0" xfId="0" applyFont="1"/>
    <xf numFmtId="0" fontId="2" fillId="2" borderId="0" xfId="0" applyFont="1" applyFill="1"/>
    <xf numFmtId="0" fontId="3" fillId="0" borderId="0" xfId="0" applyFont="1"/>
    <xf numFmtId="164" fontId="4" fillId="0" borderId="0" xfId="0" applyNumberFormat="1" applyFont="1"/>
    <xf numFmtId="165" fontId="4" fillId="0" borderId="0" xfId="0" applyNumberFormat="1" applyFont="1"/>
    <xf numFmtId="0" fontId="5" fillId="0" borderId="0" xfId="0" applyFont="1"/>
    <xf numFmtId="1" fontId="4" fillId="0" borderId="0" xfId="0" applyNumberFormat="1" applyFont="1"/>
    <xf numFmtId="0" fontId="6" fillId="0" borderId="0" xfId="0" applyFont="1"/>
    <xf numFmtId="164" fontId="3" fillId="0" borderId="0" xfId="0" applyNumberFormat="1" applyFont="1"/>
    <xf numFmtId="166" fontId="4" fillId="0" borderId="0" xfId="0" applyNumberFormat="1" applyFont="1"/>
    <xf numFmtId="10" fontId="3" fillId="0" borderId="0" xfId="0" applyNumberFormat="1" applyFont="1"/>
    <xf numFmtId="0" fontId="7" fillId="3" borderId="0" xfId="0" applyFont="1" applyFill="1" applyAlignment="1">
      <alignment horizontal="center"/>
    </xf>
    <xf numFmtId="164" fontId="8" fillId="0" borderId="0" xfId="0" applyNumberFormat="1" applyFont="1"/>
    <xf numFmtId="0" fontId="7" fillId="3" borderId="0" xfId="0" applyFont="1" applyFill="1" applyAlignment="1">
      <alignment horizontal="center" wrapText="1"/>
    </xf>
    <xf numFmtId="0" fontId="3" fillId="0" borderId="1" xfId="0" applyFont="1" applyBorder="1" applyAlignment="1">
      <alignment horizontal="center"/>
    </xf>
    <xf numFmtId="164" fontId="8" fillId="0" borderId="1" xfId="0" applyNumberFormat="1" applyFont="1" applyBorder="1" applyAlignment="1">
      <alignment horizontal="center"/>
    </xf>
    <xf numFmtId="0" fontId="0" fillId="2" borderId="0" xfId="0" applyFill="1"/>
    <xf numFmtId="164"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D3E3B"/>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D4A5A4"/>
      <rgbColor rgb="FFCC99FF"/>
      <rgbColor rgb="FFFFCC99"/>
      <rgbColor rgb="FF3366FF"/>
      <rgbColor rgb="FF33CCCC"/>
      <rgbColor rgb="FF99CC00"/>
      <rgbColor rgb="FFFFCC00"/>
      <rgbColor rgb="FFFF9900"/>
      <rgbColor rgb="FFFF6600"/>
      <rgbColor rgb="FF666699"/>
      <rgbColor rgb="FF878787"/>
      <rgbColor rgb="FF003366"/>
      <rgbColor rgb="FF339966"/>
      <rgbColor rgb="FF003300"/>
      <rgbColor rgb="FF333300"/>
      <rgbColor rgb="FF993300"/>
      <rgbColor rgb="FFBE4B48"/>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he-IL" sz="1800" b="1" strike="noStrike" spc="-1">
                <a:solidFill>
                  <a:srgbClr val="000000"/>
                </a:solidFill>
                <a:latin typeface="Calibri"/>
              </a:rPr>
              <a:t>שווי נטו לפי שנה - שלושת המסלולים</a:t>
            </a:r>
          </a:p>
        </c:rich>
      </c:tx>
      <c:overlay val="0"/>
      <c:spPr>
        <a:noFill/>
        <a:ln w="0">
          <a:noFill/>
        </a:ln>
      </c:spPr>
    </c:title>
    <c:autoTitleDeleted val="0"/>
    <c:plotArea>
      <c:layout/>
      <c:lineChart>
        <c:grouping val="standard"/>
        <c:varyColors val="0"/>
        <c:ser>
          <c:idx val="0"/>
          <c:order val="0"/>
          <c:tx>
            <c:strRef>
              <c:f>דשבורד!$B$9</c:f>
              <c:strCache>
                <c:ptCount val="1"/>
                <c:pt idx="0">
                  <c:v>מסלול A - גר בדירה</c:v>
                </c:pt>
              </c:strCache>
            </c:strRef>
          </c:tx>
          <c:spPr>
            <a:ln w="47520">
              <a:solidFill>
                <a:srgbClr val="9D3E3B"/>
              </a:solidFill>
              <a:round/>
            </a:ln>
          </c:spPr>
          <c:marker>
            <c:symbol val="none"/>
          </c:marker>
          <c:dLbls>
            <c:spPr>
              <a:noFill/>
              <a:ln>
                <a:noFill/>
              </a:ln>
              <a:effectLst/>
            </c:spPr>
            <c:txPr>
              <a:bodyPr wrap="none"/>
              <a:lstStyle/>
              <a:p>
                <a:pPr>
                  <a:defRPr sz="1000" b="0" strike="noStrike" spc="-1">
                    <a:latin typeface="Arial"/>
                  </a:defRPr>
                </a:pPr>
                <a:endParaRPr lang="he-I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דשבורד!$A$10:$A$16</c:f>
              <c:numCache>
                <c:formatCode>General</c:formatCode>
                <c:ptCount val="7"/>
                <c:pt idx="0">
                  <c:v>1</c:v>
                </c:pt>
                <c:pt idx="1">
                  <c:v>2</c:v>
                </c:pt>
                <c:pt idx="2">
                  <c:v>3</c:v>
                </c:pt>
                <c:pt idx="3">
                  <c:v>4</c:v>
                </c:pt>
                <c:pt idx="4">
                  <c:v>5</c:v>
                </c:pt>
                <c:pt idx="5">
                  <c:v>6</c:v>
                </c:pt>
                <c:pt idx="6">
                  <c:v>7</c:v>
                </c:pt>
              </c:numCache>
            </c:numRef>
          </c:cat>
          <c:val>
            <c:numRef>
              <c:f>דשבורד!$B$10:$B$16</c:f>
              <c:numCache>
                <c:formatCode>#,##0" ₪";\(#,##0" ₪)";\-</c:formatCode>
                <c:ptCount val="7"/>
                <c:pt idx="0">
                  <c:v>841292.14496702282</c:v>
                </c:pt>
                <c:pt idx="1">
                  <c:v>884610.50405713543</c:v>
                </c:pt>
                <c:pt idx="2">
                  <c:v>930054.50401786668</c:v>
                </c:pt>
                <c:pt idx="3">
                  <c:v>977728.45048788283</c:v>
                </c:pt>
                <c:pt idx="4">
                  <c:v>1027741.7674051863</c:v>
                </c:pt>
                <c:pt idx="5">
                  <c:v>1080209.2481631269</c:v>
                </c:pt>
                <c:pt idx="6">
                  <c:v>1135251.3190906867</c:v>
                </c:pt>
              </c:numCache>
            </c:numRef>
          </c:val>
          <c:smooth val="1"/>
          <c:extLst>
            <c:ext xmlns:c16="http://schemas.microsoft.com/office/drawing/2014/chart" uri="{C3380CC4-5D6E-409C-BE32-E72D297353CC}">
              <c16:uniqueId val="{00000000-40D5-4147-AEFB-7993AD1BFACD}"/>
            </c:ext>
          </c:extLst>
        </c:ser>
        <c:ser>
          <c:idx val="1"/>
          <c:order val="1"/>
          <c:tx>
            <c:strRef>
              <c:f>דשבורד!$C$9</c:f>
              <c:strCache>
                <c:ptCount val="1"/>
                <c:pt idx="0">
                  <c:v>מסלול B - משכיר</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he-I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דשבורד!$A$10:$A$16</c:f>
              <c:numCache>
                <c:formatCode>General</c:formatCode>
                <c:ptCount val="7"/>
                <c:pt idx="0">
                  <c:v>1</c:v>
                </c:pt>
                <c:pt idx="1">
                  <c:v>2</c:v>
                </c:pt>
                <c:pt idx="2">
                  <c:v>3</c:v>
                </c:pt>
                <c:pt idx="3">
                  <c:v>4</c:v>
                </c:pt>
                <c:pt idx="4">
                  <c:v>5</c:v>
                </c:pt>
                <c:pt idx="5">
                  <c:v>6</c:v>
                </c:pt>
                <c:pt idx="6">
                  <c:v>7</c:v>
                </c:pt>
              </c:numCache>
            </c:numRef>
          </c:cat>
          <c:val>
            <c:numRef>
              <c:f>דשבורד!$C$10:$C$16</c:f>
              <c:numCache>
                <c:formatCode>#,##0" ₪";\(#,##0" ₪)";\-</c:formatCode>
                <c:ptCount val="7"/>
                <c:pt idx="0">
                  <c:v>864936.28170472849</c:v>
                </c:pt>
                <c:pt idx="1">
                  <c:v>934736.0739410714</c:v>
                </c:pt>
                <c:pt idx="2">
                  <c:v>1009791.9907521053</c:v>
                </c:pt>
                <c:pt idx="3">
                  <c:v>1090531.0329546924</c:v>
                </c:pt>
                <c:pt idx="4">
                  <c:v>1177417.7821190068</c:v>
                </c:pt>
                <c:pt idx="5">
                  <c:v>1270957.9018286662</c:v>
                </c:pt>
                <c:pt idx="6">
                  <c:v>1371701.9763527233</c:v>
                </c:pt>
              </c:numCache>
            </c:numRef>
          </c:val>
          <c:smooth val="1"/>
          <c:extLst>
            <c:ext xmlns:c16="http://schemas.microsoft.com/office/drawing/2014/chart" uri="{C3380CC4-5D6E-409C-BE32-E72D297353CC}">
              <c16:uniqueId val="{00000001-40D5-4147-AEFB-7993AD1BFACD}"/>
            </c:ext>
          </c:extLst>
        </c:ser>
        <c:ser>
          <c:idx val="2"/>
          <c:order val="2"/>
          <c:tx>
            <c:strRef>
              <c:f>דשבורד!$D$9</c:f>
              <c:strCache>
                <c:ptCount val="1"/>
                <c:pt idx="0">
                  <c:v>מסלול C - לא קונה (S&amp;P)</c:v>
                </c:pt>
              </c:strCache>
            </c:strRef>
          </c:tx>
          <c:spPr>
            <a:ln w="47520">
              <a:solidFill>
                <a:srgbClr val="D4A5A4"/>
              </a:solidFill>
              <a:round/>
            </a:ln>
          </c:spPr>
          <c:marker>
            <c:symbol val="none"/>
          </c:marker>
          <c:dLbls>
            <c:spPr>
              <a:noFill/>
              <a:ln>
                <a:noFill/>
              </a:ln>
              <a:effectLst/>
            </c:spPr>
            <c:txPr>
              <a:bodyPr wrap="none"/>
              <a:lstStyle/>
              <a:p>
                <a:pPr>
                  <a:defRPr sz="1000" b="0" strike="noStrike" spc="-1">
                    <a:latin typeface="Arial"/>
                  </a:defRPr>
                </a:pPr>
                <a:endParaRPr lang="he-I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דשבורד!$A$10:$A$16</c:f>
              <c:numCache>
                <c:formatCode>General</c:formatCode>
                <c:ptCount val="7"/>
                <c:pt idx="0">
                  <c:v>1</c:v>
                </c:pt>
                <c:pt idx="1">
                  <c:v>2</c:v>
                </c:pt>
                <c:pt idx="2">
                  <c:v>3</c:v>
                </c:pt>
                <c:pt idx="3">
                  <c:v>4</c:v>
                </c:pt>
                <c:pt idx="4">
                  <c:v>5</c:v>
                </c:pt>
                <c:pt idx="5">
                  <c:v>6</c:v>
                </c:pt>
                <c:pt idx="6">
                  <c:v>7</c:v>
                </c:pt>
              </c:numCache>
            </c:numRef>
          </c:cat>
          <c:val>
            <c:numRef>
              <c:f>דשבורד!$D$10:$D$16</c:f>
              <c:numCache>
                <c:formatCode>#,##0" ₪";\(#,##0" ₪)";\-</c:formatCode>
                <c:ptCount val="7"/>
                <c:pt idx="0">
                  <c:v>429270.44347655558</c:v>
                </c:pt>
                <c:pt idx="1">
                  <c:v>569837.66154117242</c:v>
                </c:pt>
                <c:pt idx="2">
                  <c:v>722798.72625746462</c:v>
                </c:pt>
                <c:pt idx="3">
                  <c:v>889359.76478750445</c:v>
                </c:pt>
                <c:pt idx="4">
                  <c:v>1070846.8518595088</c:v>
                </c:pt>
                <c:pt idx="5">
                  <c:v>1268717.9912214517</c:v>
                </c:pt>
                <c:pt idx="6">
                  <c:v>1484576.2949739839</c:v>
                </c:pt>
              </c:numCache>
            </c:numRef>
          </c:val>
          <c:smooth val="1"/>
          <c:extLst>
            <c:ext xmlns:c16="http://schemas.microsoft.com/office/drawing/2014/chart" uri="{C3380CC4-5D6E-409C-BE32-E72D297353CC}">
              <c16:uniqueId val="{00000002-40D5-4147-AEFB-7993AD1BFACD}"/>
            </c:ext>
          </c:extLst>
        </c:ser>
        <c:dLbls>
          <c:showLegendKey val="0"/>
          <c:showVal val="0"/>
          <c:showCatName val="0"/>
          <c:showSerName val="0"/>
          <c:showPercent val="0"/>
          <c:showBubbleSize val="0"/>
        </c:dLbls>
        <c:hiLowLines>
          <c:spPr>
            <a:ln w="0">
              <a:noFill/>
            </a:ln>
          </c:spPr>
        </c:hiLowLines>
        <c:smooth val="0"/>
        <c:axId val="82245912"/>
        <c:axId val="61205644"/>
      </c:lineChart>
      <c:catAx>
        <c:axId val="82245912"/>
        <c:scaling>
          <c:orientation val="minMax"/>
        </c:scaling>
        <c:delete val="0"/>
        <c:axPos val="b"/>
        <c:title>
          <c:tx>
            <c:rich>
              <a:bodyPr rot="0"/>
              <a:lstStyle/>
              <a:p>
                <a:pPr>
                  <a:defRPr sz="1000" b="1" strike="noStrike" spc="-1">
                    <a:solidFill>
                      <a:srgbClr val="000000"/>
                    </a:solidFill>
                    <a:latin typeface="Calibri"/>
                  </a:defRPr>
                </a:pPr>
                <a:r>
                  <a:rPr lang="he-IL" sz="1000" b="1" strike="noStrike" spc="-1">
                    <a:solidFill>
                      <a:srgbClr val="000000"/>
                    </a:solidFill>
                    <a:latin typeface="Calibri"/>
                  </a:rPr>
                  <a:t>שנה</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he-IL"/>
          </a:p>
        </c:txPr>
        <c:crossAx val="61205644"/>
        <c:crosses val="autoZero"/>
        <c:auto val="1"/>
        <c:lblAlgn val="ctr"/>
        <c:lblOffset val="100"/>
        <c:noMultiLvlLbl val="0"/>
      </c:catAx>
      <c:valAx>
        <c:axId val="6120564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he-IL" sz="1000" b="1" strike="noStrike" spc="-1">
                    <a:solidFill>
                      <a:srgbClr val="000000"/>
                    </a:solidFill>
                    <a:latin typeface="Calibri"/>
                  </a:rPr>
                  <a:t>שווי נטו (₪)</a:t>
                </a:r>
              </a:p>
            </c:rich>
          </c:tx>
          <c:overlay val="0"/>
          <c:spPr>
            <a:noFill/>
            <a:ln w="0">
              <a:noFill/>
            </a:ln>
          </c:spPr>
        </c:title>
        <c:numFmt formatCode="#,##0&quot; ₪&quot;;\(#,##0&quot; ₪)&quot;;\-"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he-IL"/>
          </a:p>
        </c:txPr>
        <c:crossAx val="8224591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he-I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927150</xdr:colOff>
      <xdr:row>24</xdr:row>
      <xdr:rowOff>117375</xdr:rowOff>
    </xdr:from>
    <xdr:to>
      <xdr:col>3</xdr:col>
      <xdr:colOff>1047750</xdr:colOff>
      <xdr:row>43</xdr:row>
      <xdr:rowOff>97515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rightToLeft="1" topLeftCell="A6" zoomScaleNormal="100" workbookViewId="0">
      <selection activeCell="C13" sqref="C13"/>
    </sheetView>
  </sheetViews>
  <sheetFormatPr defaultColWidth="8.7109375" defaultRowHeight="15" x14ac:dyDescent="0.25"/>
  <cols>
    <col min="1" max="1" width="67.28515625" bestFit="1" customWidth="1"/>
    <col min="2" max="2" width="16" customWidth="1"/>
    <col min="3" max="3" width="72" bestFit="1" customWidth="1"/>
  </cols>
  <sheetData>
    <row r="1" spans="1:3" ht="18" x14ac:dyDescent="0.25">
      <c r="A1" s="2" t="s">
        <v>0</v>
      </c>
    </row>
    <row r="3" spans="1:3" x14ac:dyDescent="0.25">
      <c r="A3" s="3" t="s">
        <v>1</v>
      </c>
      <c r="B3" s="3"/>
    </row>
    <row r="4" spans="1:3" x14ac:dyDescent="0.25">
      <c r="A4" s="4" t="s">
        <v>2</v>
      </c>
      <c r="B4" s="5">
        <v>3000000</v>
      </c>
    </row>
    <row r="5" spans="1:3" x14ac:dyDescent="0.25">
      <c r="A5" s="4" t="s">
        <v>3</v>
      </c>
      <c r="B5" s="5">
        <v>3500000</v>
      </c>
    </row>
    <row r="6" spans="1:3" x14ac:dyDescent="0.25">
      <c r="A6" s="4" t="s">
        <v>4</v>
      </c>
      <c r="B6" s="6">
        <v>0</v>
      </c>
      <c r="C6" s="7" t="s">
        <v>5</v>
      </c>
    </row>
    <row r="7" spans="1:3" x14ac:dyDescent="0.25">
      <c r="A7" s="4" t="s">
        <v>6</v>
      </c>
      <c r="B7" s="8">
        <v>7</v>
      </c>
    </row>
    <row r="9" spans="1:3" x14ac:dyDescent="0.25">
      <c r="A9" s="3" t="s">
        <v>7</v>
      </c>
      <c r="B9" s="3"/>
    </row>
    <row r="10" spans="1:3" x14ac:dyDescent="0.25">
      <c r="A10" s="4" t="s">
        <v>82</v>
      </c>
      <c r="B10" s="6">
        <v>0.9</v>
      </c>
    </row>
    <row r="11" spans="1:3" x14ac:dyDescent="0.25">
      <c r="A11" s="4" t="s">
        <v>8</v>
      </c>
      <c r="B11" s="10">
        <f>B4*(1-B10)</f>
        <v>299999.99999999994</v>
      </c>
    </row>
    <row r="12" spans="1:3" x14ac:dyDescent="0.25">
      <c r="A12" s="4" t="s">
        <v>9</v>
      </c>
      <c r="B12" s="10">
        <f>B4-B11</f>
        <v>2700000</v>
      </c>
    </row>
    <row r="13" spans="1:3" x14ac:dyDescent="0.25">
      <c r="A13" s="4" t="s">
        <v>10</v>
      </c>
      <c r="B13" s="8">
        <v>30</v>
      </c>
    </row>
    <row r="14" spans="1:3" x14ac:dyDescent="0.25">
      <c r="A14" s="4" t="s">
        <v>11</v>
      </c>
      <c r="B14" s="6">
        <v>4.8000000000000001E-2</v>
      </c>
    </row>
    <row r="16" spans="1:3" x14ac:dyDescent="0.25">
      <c r="A16" s="3" t="s">
        <v>12</v>
      </c>
      <c r="B16" s="3"/>
    </row>
    <row r="17" spans="1:3" x14ac:dyDescent="0.25">
      <c r="A17" s="4" t="s">
        <v>13</v>
      </c>
      <c r="B17" s="5">
        <v>80000</v>
      </c>
    </row>
    <row r="18" spans="1:3" x14ac:dyDescent="0.25">
      <c r="A18" s="4" t="s">
        <v>14</v>
      </c>
      <c r="B18" s="5">
        <v>70000</v>
      </c>
    </row>
    <row r="19" spans="1:3" x14ac:dyDescent="0.25">
      <c r="A19" s="4" t="s">
        <v>15</v>
      </c>
      <c r="B19" s="5">
        <v>20000</v>
      </c>
    </row>
    <row r="20" spans="1:3" x14ac:dyDescent="0.25">
      <c r="A20" s="4" t="s">
        <v>16</v>
      </c>
      <c r="B20" s="5">
        <v>40000</v>
      </c>
    </row>
    <row r="21" spans="1:3" x14ac:dyDescent="0.25">
      <c r="A21" s="9" t="s">
        <v>17</v>
      </c>
      <c r="B21" s="10">
        <f>SUM(B17:B20)</f>
        <v>210000</v>
      </c>
    </row>
    <row r="22" spans="1:3" x14ac:dyDescent="0.25">
      <c r="A22" s="9" t="s">
        <v>18</v>
      </c>
      <c r="B22" s="10">
        <f>B11+B21</f>
        <v>509999.99999999994</v>
      </c>
    </row>
    <row r="24" spans="1:3" x14ac:dyDescent="0.25">
      <c r="A24" s="3" t="s">
        <v>19</v>
      </c>
      <c r="B24" s="3"/>
    </row>
    <row r="25" spans="1:3" x14ac:dyDescent="0.25">
      <c r="A25" s="4" t="s">
        <v>20</v>
      </c>
      <c r="B25" s="5">
        <v>250</v>
      </c>
    </row>
    <row r="26" spans="1:3" x14ac:dyDescent="0.25">
      <c r="A26" s="4" t="s">
        <v>21</v>
      </c>
      <c r="B26" s="5">
        <v>0</v>
      </c>
    </row>
    <row r="27" spans="1:3" x14ac:dyDescent="0.25">
      <c r="A27" s="9" t="s">
        <v>22</v>
      </c>
      <c r="B27" s="10">
        <f>B25+B26</f>
        <v>250</v>
      </c>
    </row>
    <row r="29" spans="1:3" x14ac:dyDescent="0.25">
      <c r="A29" s="3" t="s">
        <v>23</v>
      </c>
      <c r="B29" s="3"/>
    </row>
    <row r="30" spans="1:3" x14ac:dyDescent="0.25">
      <c r="A30" s="4" t="s">
        <v>24</v>
      </c>
      <c r="B30" s="5">
        <v>6500</v>
      </c>
      <c r="C30" s="7" t="s">
        <v>25</v>
      </c>
    </row>
    <row r="31" spans="1:3" x14ac:dyDescent="0.25">
      <c r="A31" s="4" t="s">
        <v>26</v>
      </c>
      <c r="B31" s="6">
        <v>0.02</v>
      </c>
    </row>
    <row r="32" spans="1:3" x14ac:dyDescent="0.25">
      <c r="A32" s="4" t="s">
        <v>27</v>
      </c>
      <c r="B32" s="10">
        <f>B5*0.03/12</f>
        <v>8750</v>
      </c>
    </row>
    <row r="33" spans="1:3" x14ac:dyDescent="0.25">
      <c r="A33" s="4" t="s">
        <v>28</v>
      </c>
      <c r="B33" s="11">
        <v>0.5</v>
      </c>
      <c r="C33" s="7" t="s">
        <v>29</v>
      </c>
    </row>
    <row r="35" spans="1:3" x14ac:dyDescent="0.25">
      <c r="A35" s="3" t="s">
        <v>30</v>
      </c>
      <c r="B35" s="3"/>
    </row>
    <row r="36" spans="1:3" x14ac:dyDescent="0.25">
      <c r="A36" s="4" t="s">
        <v>31</v>
      </c>
      <c r="B36" s="6">
        <v>0.25</v>
      </c>
      <c r="C36" s="7" t="s">
        <v>32</v>
      </c>
    </row>
    <row r="37" spans="1:3" x14ac:dyDescent="0.25">
      <c r="A37" s="4" t="s">
        <v>33</v>
      </c>
      <c r="B37" s="8">
        <v>1</v>
      </c>
      <c r="C37" s="7" t="s">
        <v>34</v>
      </c>
    </row>
    <row r="39" spans="1:3" x14ac:dyDescent="0.25">
      <c r="A39" s="3" t="s">
        <v>35</v>
      </c>
      <c r="B39" s="3"/>
    </row>
    <row r="40" spans="1:3" x14ac:dyDescent="0.25">
      <c r="A40" s="4" t="s">
        <v>36</v>
      </c>
      <c r="B40" s="6">
        <v>0.1</v>
      </c>
    </row>
    <row r="42" spans="1:3" x14ac:dyDescent="0.25">
      <c r="A42" s="3" t="s">
        <v>37</v>
      </c>
      <c r="B42" s="3"/>
    </row>
    <row r="43" spans="1:3" x14ac:dyDescent="0.25">
      <c r="A43" s="9" t="s">
        <v>38</v>
      </c>
      <c r="B43" s="10">
        <f>-PMT(B14/12,B13*12,B12)</f>
        <v>14165.964567216037</v>
      </c>
    </row>
    <row r="44" spans="1:3" x14ac:dyDescent="0.25">
      <c r="A44" s="9" t="s">
        <v>39</v>
      </c>
      <c r="B44" s="12">
        <f>(1+B40)^(1/12)-1</f>
        <v>7.9741404289037643E-3</v>
      </c>
    </row>
    <row r="45" spans="1:3" x14ac:dyDescent="0.25">
      <c r="A45" s="9" t="s">
        <v>40</v>
      </c>
      <c r="B45" s="10">
        <f>B5-B4</f>
        <v>500000</v>
      </c>
    </row>
    <row r="48" spans="1:3" x14ac:dyDescent="0.25">
      <c r="A48" s="7" t="s">
        <v>41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1"/>
  <sheetViews>
    <sheetView rightToLeft="1" zoomScaleNormal="100" workbookViewId="0">
      <pane ySplit="1" topLeftCell="A2" activePane="bottomLeft" state="frozen"/>
      <selection pane="bottomLeft" activeCell="B32" sqref="B32"/>
    </sheetView>
  </sheetViews>
  <sheetFormatPr defaultColWidth="8.7109375" defaultRowHeight="15" x14ac:dyDescent="0.25"/>
  <cols>
    <col min="1" max="6" width="18" customWidth="1"/>
  </cols>
  <sheetData>
    <row r="1" spans="1:6" x14ac:dyDescent="0.25">
      <c r="A1" s="13" t="s">
        <v>42</v>
      </c>
      <c r="B1" s="13" t="s">
        <v>43</v>
      </c>
      <c r="C1" s="13" t="s">
        <v>44</v>
      </c>
      <c r="D1" s="13" t="s">
        <v>45</v>
      </c>
      <c r="E1" s="13" t="s">
        <v>46</v>
      </c>
      <c r="F1" s="13" t="s">
        <v>47</v>
      </c>
    </row>
    <row r="2" spans="1:6" x14ac:dyDescent="0.25">
      <c r="A2" s="4">
        <v>1</v>
      </c>
      <c r="B2" s="14">
        <f>נתונים!B12</f>
        <v>2700000</v>
      </c>
      <c r="C2" s="14">
        <f>נתונים!B43</f>
        <v>14165.964567216037</v>
      </c>
      <c r="D2" s="10">
        <f>B2*נתונים!B14/12</f>
        <v>10800</v>
      </c>
      <c r="E2" s="10">
        <f t="shared" ref="E2:E65" si="0">C2-D2</f>
        <v>3365.9645672160368</v>
      </c>
      <c r="F2" s="10">
        <f t="shared" ref="F2:F65" si="1">B2-E2</f>
        <v>2696634.0354327839</v>
      </c>
    </row>
    <row r="3" spans="1:6" x14ac:dyDescent="0.25">
      <c r="A3" s="4">
        <v>2</v>
      </c>
      <c r="B3" s="10">
        <f t="shared" ref="B3:B66" si="2">F2</f>
        <v>2696634.0354327839</v>
      </c>
      <c r="C3" s="14">
        <f>נתונים!B43</f>
        <v>14165.964567216037</v>
      </c>
      <c r="D3" s="10">
        <f>B3*נתונים!B14/12</f>
        <v>10786.536141731136</v>
      </c>
      <c r="E3" s="10">
        <f t="shared" si="0"/>
        <v>3379.4284254849008</v>
      </c>
      <c r="F3" s="10">
        <f t="shared" si="1"/>
        <v>2693254.6070072991</v>
      </c>
    </row>
    <row r="4" spans="1:6" x14ac:dyDescent="0.25">
      <c r="A4" s="4">
        <v>3</v>
      </c>
      <c r="B4" s="10">
        <f t="shared" si="2"/>
        <v>2693254.6070072991</v>
      </c>
      <c r="C4" s="14">
        <f>נתונים!B43</f>
        <v>14165.964567216037</v>
      </c>
      <c r="D4" s="10">
        <f>B4*נתונים!B14/12</f>
        <v>10773.018428029196</v>
      </c>
      <c r="E4" s="10">
        <f t="shared" si="0"/>
        <v>3392.9461391868408</v>
      </c>
      <c r="F4" s="10">
        <f t="shared" si="1"/>
        <v>2689861.6608681125</v>
      </c>
    </row>
    <row r="5" spans="1:6" x14ac:dyDescent="0.25">
      <c r="A5" s="4">
        <v>4</v>
      </c>
      <c r="B5" s="10">
        <f t="shared" si="2"/>
        <v>2689861.6608681125</v>
      </c>
      <c r="C5" s="14">
        <f>נתונים!B43</f>
        <v>14165.964567216037</v>
      </c>
      <c r="D5" s="10">
        <f>B5*נתונים!B14/12</f>
        <v>10759.446643472451</v>
      </c>
      <c r="E5" s="10">
        <f t="shared" si="0"/>
        <v>3406.5179237435859</v>
      </c>
      <c r="F5" s="10">
        <f t="shared" si="1"/>
        <v>2686455.142944369</v>
      </c>
    </row>
    <row r="6" spans="1:6" x14ac:dyDescent="0.25">
      <c r="A6" s="4">
        <v>5</v>
      </c>
      <c r="B6" s="10">
        <f t="shared" si="2"/>
        <v>2686455.142944369</v>
      </c>
      <c r="C6" s="14">
        <f>נתונים!B43</f>
        <v>14165.964567216037</v>
      </c>
      <c r="D6" s="10">
        <f>B6*נתונים!B14/12</f>
        <v>10745.820571777476</v>
      </c>
      <c r="E6" s="10">
        <f t="shared" si="0"/>
        <v>3420.1439954385605</v>
      </c>
      <c r="F6" s="10">
        <f t="shared" si="1"/>
        <v>2683034.9989489303</v>
      </c>
    </row>
    <row r="7" spans="1:6" x14ac:dyDescent="0.25">
      <c r="A7" s="4">
        <v>6</v>
      </c>
      <c r="B7" s="10">
        <f t="shared" si="2"/>
        <v>2683034.9989489303</v>
      </c>
      <c r="C7" s="14">
        <f>נתונים!B43</f>
        <v>14165.964567216037</v>
      </c>
      <c r="D7" s="10">
        <f>B7*נתונים!B14/12</f>
        <v>10732.139995795722</v>
      </c>
      <c r="E7" s="10">
        <f t="shared" si="0"/>
        <v>3433.8245714203149</v>
      </c>
      <c r="F7" s="10">
        <f t="shared" si="1"/>
        <v>2679601.1743775099</v>
      </c>
    </row>
    <row r="8" spans="1:6" x14ac:dyDescent="0.25">
      <c r="A8" s="4">
        <v>7</v>
      </c>
      <c r="B8" s="10">
        <f t="shared" si="2"/>
        <v>2679601.1743775099</v>
      </c>
      <c r="C8" s="14">
        <f>נתונים!B43</f>
        <v>14165.964567216037</v>
      </c>
      <c r="D8" s="10">
        <f>B8*נתונים!B14/12</f>
        <v>10718.404697510039</v>
      </c>
      <c r="E8" s="10">
        <f t="shared" si="0"/>
        <v>3447.5598697059977</v>
      </c>
      <c r="F8" s="10">
        <f t="shared" si="1"/>
        <v>2676153.6145078037</v>
      </c>
    </row>
    <row r="9" spans="1:6" x14ac:dyDescent="0.25">
      <c r="A9" s="4">
        <v>8</v>
      </c>
      <c r="B9" s="10">
        <f t="shared" si="2"/>
        <v>2676153.6145078037</v>
      </c>
      <c r="C9" s="14">
        <f>נתונים!B43</f>
        <v>14165.964567216037</v>
      </c>
      <c r="D9" s="10">
        <f>B9*נתונים!B14/12</f>
        <v>10704.614458031216</v>
      </c>
      <c r="E9" s="10">
        <f t="shared" si="0"/>
        <v>3461.3501091848211</v>
      </c>
      <c r="F9" s="10">
        <f t="shared" si="1"/>
        <v>2672692.2643986191</v>
      </c>
    </row>
    <row r="10" spans="1:6" x14ac:dyDescent="0.25">
      <c r="A10" s="4">
        <v>9</v>
      </c>
      <c r="B10" s="10">
        <f t="shared" si="2"/>
        <v>2672692.2643986191</v>
      </c>
      <c r="C10" s="14">
        <f>נתונים!B43</f>
        <v>14165.964567216037</v>
      </c>
      <c r="D10" s="10">
        <f>B10*נתונים!B14/12</f>
        <v>10690.769057594476</v>
      </c>
      <c r="E10" s="10">
        <f t="shared" si="0"/>
        <v>3475.1955096215606</v>
      </c>
      <c r="F10" s="10">
        <f t="shared" si="1"/>
        <v>2669217.0688889977</v>
      </c>
    </row>
    <row r="11" spans="1:6" x14ac:dyDescent="0.25">
      <c r="A11" s="4">
        <v>10</v>
      </c>
      <c r="B11" s="10">
        <f t="shared" si="2"/>
        <v>2669217.0688889977</v>
      </c>
      <c r="C11" s="14">
        <f>נתונים!B43</f>
        <v>14165.964567216037</v>
      </c>
      <c r="D11" s="10">
        <f>B11*נתונים!B14/12</f>
        <v>10676.868275555991</v>
      </c>
      <c r="E11" s="10">
        <f t="shared" si="0"/>
        <v>3489.0962916600456</v>
      </c>
      <c r="F11" s="10">
        <f t="shared" si="1"/>
        <v>2665727.9725973378</v>
      </c>
    </row>
    <row r="12" spans="1:6" x14ac:dyDescent="0.25">
      <c r="A12" s="4">
        <v>11</v>
      </c>
      <c r="B12" s="10">
        <f t="shared" si="2"/>
        <v>2665727.9725973378</v>
      </c>
      <c r="C12" s="14">
        <f>נתונים!B43</f>
        <v>14165.964567216037</v>
      </c>
      <c r="D12" s="10">
        <f>B12*נתונים!B14/12</f>
        <v>10662.911890389352</v>
      </c>
      <c r="E12" s="10">
        <f t="shared" si="0"/>
        <v>3503.0526768266845</v>
      </c>
      <c r="F12" s="10">
        <f t="shared" si="1"/>
        <v>2662224.9199205111</v>
      </c>
    </row>
    <row r="13" spans="1:6" x14ac:dyDescent="0.25">
      <c r="A13" s="4">
        <v>12</v>
      </c>
      <c r="B13" s="10">
        <f t="shared" si="2"/>
        <v>2662224.9199205111</v>
      </c>
      <c r="C13" s="14">
        <f>נתונים!B43</f>
        <v>14165.964567216037</v>
      </c>
      <c r="D13" s="10">
        <f>B13*נתונים!B14/12</f>
        <v>10648.899679682045</v>
      </c>
      <c r="E13" s="10">
        <f t="shared" si="0"/>
        <v>3517.0648875339921</v>
      </c>
      <c r="F13" s="10">
        <f t="shared" si="1"/>
        <v>2658707.8550329772</v>
      </c>
    </row>
    <row r="14" spans="1:6" x14ac:dyDescent="0.25">
      <c r="A14" s="4">
        <v>13</v>
      </c>
      <c r="B14" s="10">
        <f t="shared" si="2"/>
        <v>2658707.8550329772</v>
      </c>
      <c r="C14" s="14">
        <f>נתונים!B43</f>
        <v>14165.964567216037</v>
      </c>
      <c r="D14" s="10">
        <f>B14*נתונים!B14/12</f>
        <v>10634.83142013191</v>
      </c>
      <c r="E14" s="10">
        <f t="shared" si="0"/>
        <v>3531.1331470841269</v>
      </c>
      <c r="F14" s="10">
        <f t="shared" si="1"/>
        <v>2655176.721885893</v>
      </c>
    </row>
    <row r="15" spans="1:6" x14ac:dyDescent="0.25">
      <c r="A15" s="4">
        <v>14</v>
      </c>
      <c r="B15" s="10">
        <f t="shared" si="2"/>
        <v>2655176.721885893</v>
      </c>
      <c r="C15" s="14">
        <f>נתונים!B43</f>
        <v>14165.964567216037</v>
      </c>
      <c r="D15" s="10">
        <f>B15*נתונים!B14/12</f>
        <v>10620.706887543573</v>
      </c>
      <c r="E15" s="10">
        <f t="shared" si="0"/>
        <v>3545.2576796724643</v>
      </c>
      <c r="F15" s="10">
        <f t="shared" si="1"/>
        <v>2651631.4642062206</v>
      </c>
    </row>
    <row r="16" spans="1:6" x14ac:dyDescent="0.25">
      <c r="A16" s="4">
        <v>15</v>
      </c>
      <c r="B16" s="10">
        <f t="shared" si="2"/>
        <v>2651631.4642062206</v>
      </c>
      <c r="C16" s="14">
        <f>נתונים!B43</f>
        <v>14165.964567216037</v>
      </c>
      <c r="D16" s="10">
        <f>B16*נתונים!B14/12</f>
        <v>10606.525856824883</v>
      </c>
      <c r="E16" s="10">
        <f t="shared" si="0"/>
        <v>3559.438710391154</v>
      </c>
      <c r="F16" s="10">
        <f t="shared" si="1"/>
        <v>2648072.0254958295</v>
      </c>
    </row>
    <row r="17" spans="1:6" x14ac:dyDescent="0.25">
      <c r="A17" s="4">
        <v>16</v>
      </c>
      <c r="B17" s="10">
        <f t="shared" si="2"/>
        <v>2648072.0254958295</v>
      </c>
      <c r="C17" s="14">
        <f>נתונים!B43</f>
        <v>14165.964567216037</v>
      </c>
      <c r="D17" s="10">
        <f>B17*נתונים!B14/12</f>
        <v>10592.288101983318</v>
      </c>
      <c r="E17" s="10">
        <f t="shared" si="0"/>
        <v>3573.6764652327183</v>
      </c>
      <c r="F17" s="10">
        <f t="shared" si="1"/>
        <v>2644498.3490305967</v>
      </c>
    </row>
    <row r="18" spans="1:6" x14ac:dyDescent="0.25">
      <c r="A18" s="4">
        <v>17</v>
      </c>
      <c r="B18" s="10">
        <f t="shared" si="2"/>
        <v>2644498.3490305967</v>
      </c>
      <c r="C18" s="14">
        <f>נתונים!B43</f>
        <v>14165.964567216037</v>
      </c>
      <c r="D18" s="10">
        <f>B18*נתונים!B14/12</f>
        <v>10577.993396122387</v>
      </c>
      <c r="E18" s="10">
        <f t="shared" si="0"/>
        <v>3587.9711710936499</v>
      </c>
      <c r="F18" s="10">
        <f t="shared" si="1"/>
        <v>2640910.377859503</v>
      </c>
    </row>
    <row r="19" spans="1:6" x14ac:dyDescent="0.25">
      <c r="A19" s="4">
        <v>18</v>
      </c>
      <c r="B19" s="10">
        <f t="shared" si="2"/>
        <v>2640910.377859503</v>
      </c>
      <c r="C19" s="14">
        <f>נתונים!B43</f>
        <v>14165.964567216037</v>
      </c>
      <c r="D19" s="10">
        <f>B19*נתונים!B14/12</f>
        <v>10563.641511438012</v>
      </c>
      <c r="E19" s="10">
        <f t="shared" si="0"/>
        <v>3602.3230557780244</v>
      </c>
      <c r="F19" s="10">
        <f t="shared" si="1"/>
        <v>2637308.0548037249</v>
      </c>
    </row>
    <row r="20" spans="1:6" x14ac:dyDescent="0.25">
      <c r="A20" s="4">
        <v>19</v>
      </c>
      <c r="B20" s="10">
        <f t="shared" si="2"/>
        <v>2637308.0548037249</v>
      </c>
      <c r="C20" s="14">
        <f>נתונים!B43</f>
        <v>14165.964567216037</v>
      </c>
      <c r="D20" s="10">
        <f>B20*נתונים!B14/12</f>
        <v>10549.232219214899</v>
      </c>
      <c r="E20" s="10">
        <f t="shared" si="0"/>
        <v>3616.7323480011382</v>
      </c>
      <c r="F20" s="10">
        <f t="shared" si="1"/>
        <v>2633691.3224557238</v>
      </c>
    </row>
    <row r="21" spans="1:6" x14ac:dyDescent="0.25">
      <c r="A21" s="4">
        <v>20</v>
      </c>
      <c r="B21" s="10">
        <f t="shared" si="2"/>
        <v>2633691.3224557238</v>
      </c>
      <c r="C21" s="14">
        <f>נתונים!B43</f>
        <v>14165.964567216037</v>
      </c>
      <c r="D21" s="10">
        <f>B21*נתונים!B14/12</f>
        <v>10534.765289822895</v>
      </c>
      <c r="E21" s="10">
        <f t="shared" si="0"/>
        <v>3631.1992773931415</v>
      </c>
      <c r="F21" s="10">
        <f t="shared" si="1"/>
        <v>2630060.1231783307</v>
      </c>
    </row>
    <row r="22" spans="1:6" x14ac:dyDescent="0.25">
      <c r="A22" s="4">
        <v>21</v>
      </c>
      <c r="B22" s="10">
        <f t="shared" si="2"/>
        <v>2630060.1231783307</v>
      </c>
      <c r="C22" s="14">
        <f>נתונים!B43</f>
        <v>14165.964567216037</v>
      </c>
      <c r="D22" s="10">
        <f>B22*נתונים!B14/12</f>
        <v>10520.240492713323</v>
      </c>
      <c r="E22" s="10">
        <f t="shared" si="0"/>
        <v>3645.7240745027138</v>
      </c>
      <c r="F22" s="10">
        <f t="shared" si="1"/>
        <v>2626414.3991038278</v>
      </c>
    </row>
    <row r="23" spans="1:6" x14ac:dyDescent="0.25">
      <c r="A23" s="4">
        <v>22</v>
      </c>
      <c r="B23" s="10">
        <f t="shared" si="2"/>
        <v>2626414.3991038278</v>
      </c>
      <c r="C23" s="14">
        <f>נתונים!B43</f>
        <v>14165.964567216037</v>
      </c>
      <c r="D23" s="10">
        <f>B23*נתונים!B14/12</f>
        <v>10505.657596415311</v>
      </c>
      <c r="E23" s="10">
        <f t="shared" si="0"/>
        <v>3660.306970800726</v>
      </c>
      <c r="F23" s="10">
        <f t="shared" si="1"/>
        <v>2622754.092133027</v>
      </c>
    </row>
    <row r="24" spans="1:6" x14ac:dyDescent="0.25">
      <c r="A24" s="4">
        <v>23</v>
      </c>
      <c r="B24" s="10">
        <f t="shared" si="2"/>
        <v>2622754.092133027</v>
      </c>
      <c r="C24" s="14">
        <f>נתונים!B43</f>
        <v>14165.964567216037</v>
      </c>
      <c r="D24" s="10">
        <f>B24*נתונים!B14/12</f>
        <v>10491.016368532108</v>
      </c>
      <c r="E24" s="10">
        <f t="shared" si="0"/>
        <v>3674.9481986839291</v>
      </c>
      <c r="F24" s="10">
        <f t="shared" si="1"/>
        <v>2619079.143934343</v>
      </c>
    </row>
    <row r="25" spans="1:6" x14ac:dyDescent="0.25">
      <c r="A25" s="4">
        <v>24</v>
      </c>
      <c r="B25" s="10">
        <f t="shared" si="2"/>
        <v>2619079.143934343</v>
      </c>
      <c r="C25" s="14">
        <f>נתונים!B43</f>
        <v>14165.964567216037</v>
      </c>
      <c r="D25" s="10">
        <f>B25*נתונים!B14/12</f>
        <v>10476.316575737372</v>
      </c>
      <c r="E25" s="10">
        <f t="shared" si="0"/>
        <v>3689.6479914786651</v>
      </c>
      <c r="F25" s="10">
        <f t="shared" si="1"/>
        <v>2615389.4959428646</v>
      </c>
    </row>
    <row r="26" spans="1:6" x14ac:dyDescent="0.25">
      <c r="A26" s="4">
        <v>25</v>
      </c>
      <c r="B26" s="10">
        <f t="shared" si="2"/>
        <v>2615389.4959428646</v>
      </c>
      <c r="C26" s="14">
        <f>נתונים!B43</f>
        <v>14165.964567216037</v>
      </c>
      <c r="D26" s="10">
        <f>B26*נתונים!B14/12</f>
        <v>10461.557983771459</v>
      </c>
      <c r="E26" s="10">
        <f t="shared" si="0"/>
        <v>3704.4065834445773</v>
      </c>
      <c r="F26" s="10">
        <f t="shared" si="1"/>
        <v>2611685.0893594199</v>
      </c>
    </row>
    <row r="27" spans="1:6" x14ac:dyDescent="0.25">
      <c r="A27" s="4">
        <v>26</v>
      </c>
      <c r="B27" s="10">
        <f t="shared" si="2"/>
        <v>2611685.0893594199</v>
      </c>
      <c r="C27" s="14">
        <f>נתונים!B43</f>
        <v>14165.964567216037</v>
      </c>
      <c r="D27" s="10">
        <f>B27*נתונים!B14/12</f>
        <v>10446.74035743768</v>
      </c>
      <c r="E27" s="10">
        <f t="shared" si="0"/>
        <v>3719.2242097783565</v>
      </c>
      <c r="F27" s="10">
        <f t="shared" si="1"/>
        <v>2607965.8651496414</v>
      </c>
    </row>
    <row r="28" spans="1:6" x14ac:dyDescent="0.25">
      <c r="A28" s="4">
        <v>27</v>
      </c>
      <c r="B28" s="10">
        <f t="shared" si="2"/>
        <v>2607965.8651496414</v>
      </c>
      <c r="C28" s="14">
        <f>נתונים!B43</f>
        <v>14165.964567216037</v>
      </c>
      <c r="D28" s="10">
        <f>B28*נתונים!B14/12</f>
        <v>10431.863460598566</v>
      </c>
      <c r="E28" s="10">
        <f t="shared" si="0"/>
        <v>3734.1011066174706</v>
      </c>
      <c r="F28" s="10">
        <f t="shared" si="1"/>
        <v>2604231.7640430238</v>
      </c>
    </row>
    <row r="29" spans="1:6" x14ac:dyDescent="0.25">
      <c r="A29" s="4">
        <v>28</v>
      </c>
      <c r="B29" s="10">
        <f t="shared" si="2"/>
        <v>2604231.7640430238</v>
      </c>
      <c r="C29" s="14">
        <f>נתונים!B43</f>
        <v>14165.964567216037</v>
      </c>
      <c r="D29" s="10">
        <f>B29*נתונים!B14/12</f>
        <v>10416.927056172095</v>
      </c>
      <c r="E29" s="10">
        <f t="shared" si="0"/>
        <v>3749.0375110439418</v>
      </c>
      <c r="F29" s="10">
        <f t="shared" si="1"/>
        <v>2600482.7265319801</v>
      </c>
    </row>
    <row r="30" spans="1:6" x14ac:dyDescent="0.25">
      <c r="A30" s="4">
        <v>29</v>
      </c>
      <c r="B30" s="10">
        <f t="shared" si="2"/>
        <v>2600482.7265319801</v>
      </c>
      <c r="C30" s="14">
        <f>נתונים!B43</f>
        <v>14165.964567216037</v>
      </c>
      <c r="D30" s="10">
        <f>B30*נתונים!B14/12</f>
        <v>10401.93090612792</v>
      </c>
      <c r="E30" s="10">
        <f t="shared" si="0"/>
        <v>3764.0336610881168</v>
      </c>
      <c r="F30" s="10">
        <f t="shared" si="1"/>
        <v>2596718.6928708921</v>
      </c>
    </row>
    <row r="31" spans="1:6" x14ac:dyDescent="0.25">
      <c r="A31" s="4">
        <v>30</v>
      </c>
      <c r="B31" s="10">
        <f t="shared" si="2"/>
        <v>2596718.6928708921</v>
      </c>
      <c r="C31" s="14">
        <f>נתונים!B43</f>
        <v>14165.964567216037</v>
      </c>
      <c r="D31" s="10">
        <f>B31*נתונים!B14/12</f>
        <v>10386.874771483568</v>
      </c>
      <c r="E31" s="10">
        <f t="shared" si="0"/>
        <v>3779.0897957324687</v>
      </c>
      <c r="F31" s="10">
        <f t="shared" si="1"/>
        <v>2592939.6030751597</v>
      </c>
    </row>
    <row r="32" spans="1:6" x14ac:dyDescent="0.25">
      <c r="A32" s="4">
        <v>31</v>
      </c>
      <c r="B32" s="10">
        <f t="shared" si="2"/>
        <v>2592939.6030751597</v>
      </c>
      <c r="C32" s="14">
        <f>נתונים!B43</f>
        <v>14165.964567216037</v>
      </c>
      <c r="D32" s="10">
        <f>B32*נתונים!B14/12</f>
        <v>10371.75841230064</v>
      </c>
      <c r="E32" s="10">
        <f t="shared" si="0"/>
        <v>3794.2061549153968</v>
      </c>
      <c r="F32" s="10">
        <f t="shared" si="1"/>
        <v>2589145.3969202442</v>
      </c>
    </row>
    <row r="33" spans="1:6" x14ac:dyDescent="0.25">
      <c r="A33" s="4">
        <v>32</v>
      </c>
      <c r="B33" s="10">
        <f t="shared" si="2"/>
        <v>2589145.3969202442</v>
      </c>
      <c r="C33" s="14">
        <f>נתונים!B43</f>
        <v>14165.964567216037</v>
      </c>
      <c r="D33" s="10">
        <f>B33*נתונים!B14/12</f>
        <v>10356.581587680977</v>
      </c>
      <c r="E33" s="10">
        <f t="shared" si="0"/>
        <v>3809.3829795350593</v>
      </c>
      <c r="F33" s="10">
        <f t="shared" si="1"/>
        <v>2585336.0139407092</v>
      </c>
    </row>
    <row r="34" spans="1:6" x14ac:dyDescent="0.25">
      <c r="A34" s="4">
        <v>33</v>
      </c>
      <c r="B34" s="10">
        <f t="shared" si="2"/>
        <v>2585336.0139407092</v>
      </c>
      <c r="C34" s="14">
        <f>נתונים!B43</f>
        <v>14165.964567216037</v>
      </c>
      <c r="D34" s="10">
        <f>B34*נתונים!B14/12</f>
        <v>10341.344055762836</v>
      </c>
      <c r="E34" s="10">
        <f t="shared" si="0"/>
        <v>3824.6205114532004</v>
      </c>
      <c r="F34" s="10">
        <f t="shared" si="1"/>
        <v>2581511.393429256</v>
      </c>
    </row>
    <row r="35" spans="1:6" x14ac:dyDescent="0.25">
      <c r="A35" s="4">
        <v>34</v>
      </c>
      <c r="B35" s="10">
        <f t="shared" si="2"/>
        <v>2581511.393429256</v>
      </c>
      <c r="C35" s="14">
        <f>נתונים!B43</f>
        <v>14165.964567216037</v>
      </c>
      <c r="D35" s="10">
        <f>B35*נתונים!B14/12</f>
        <v>10326.045573717025</v>
      </c>
      <c r="E35" s="10">
        <f t="shared" si="0"/>
        <v>3839.9189934990118</v>
      </c>
      <c r="F35" s="10">
        <f t="shared" si="1"/>
        <v>2577671.4744357569</v>
      </c>
    </row>
    <row r="36" spans="1:6" x14ac:dyDescent="0.25">
      <c r="A36" s="4">
        <v>35</v>
      </c>
      <c r="B36" s="10">
        <f t="shared" si="2"/>
        <v>2577671.4744357569</v>
      </c>
      <c r="C36" s="14">
        <f>נתונים!B43</f>
        <v>14165.964567216037</v>
      </c>
      <c r="D36" s="10">
        <f>B36*נתונים!B14/12</f>
        <v>10310.685897743027</v>
      </c>
      <c r="E36" s="10">
        <f t="shared" si="0"/>
        <v>3855.2786694730094</v>
      </c>
      <c r="F36" s="10">
        <f t="shared" si="1"/>
        <v>2573816.1957662841</v>
      </c>
    </row>
    <row r="37" spans="1:6" x14ac:dyDescent="0.25">
      <c r="A37" s="4">
        <v>36</v>
      </c>
      <c r="B37" s="10">
        <f t="shared" si="2"/>
        <v>2573816.1957662841</v>
      </c>
      <c r="C37" s="14">
        <f>נתונים!B43</f>
        <v>14165.964567216037</v>
      </c>
      <c r="D37" s="10">
        <f>B37*נתונים!B14/12</f>
        <v>10295.264783065137</v>
      </c>
      <c r="E37" s="10">
        <f t="shared" si="0"/>
        <v>3870.6997841509001</v>
      </c>
      <c r="F37" s="10">
        <f t="shared" si="1"/>
        <v>2569945.4959821333</v>
      </c>
    </row>
    <row r="38" spans="1:6" x14ac:dyDescent="0.25">
      <c r="A38" s="4">
        <v>37</v>
      </c>
      <c r="B38" s="10">
        <f t="shared" si="2"/>
        <v>2569945.4959821333</v>
      </c>
      <c r="C38" s="14">
        <f>נתונים!B43</f>
        <v>14165.964567216037</v>
      </c>
      <c r="D38" s="10">
        <f>B38*נתונים!B14/12</f>
        <v>10279.781983928533</v>
      </c>
      <c r="E38" s="10">
        <f t="shared" si="0"/>
        <v>3886.1825832875038</v>
      </c>
      <c r="F38" s="10">
        <f t="shared" si="1"/>
        <v>2566059.313398846</v>
      </c>
    </row>
    <row r="39" spans="1:6" x14ac:dyDescent="0.25">
      <c r="A39" s="4">
        <v>38</v>
      </c>
      <c r="B39" s="10">
        <f t="shared" si="2"/>
        <v>2566059.313398846</v>
      </c>
      <c r="C39" s="14">
        <f>נתונים!B43</f>
        <v>14165.964567216037</v>
      </c>
      <c r="D39" s="10">
        <f>B39*נתונים!B14/12</f>
        <v>10264.237253595384</v>
      </c>
      <c r="E39" s="10">
        <f t="shared" si="0"/>
        <v>3901.7273136206531</v>
      </c>
      <c r="F39" s="10">
        <f t="shared" si="1"/>
        <v>2562157.5860852255</v>
      </c>
    </row>
    <row r="40" spans="1:6" x14ac:dyDescent="0.25">
      <c r="A40" s="4">
        <v>39</v>
      </c>
      <c r="B40" s="10">
        <f t="shared" si="2"/>
        <v>2562157.5860852255</v>
      </c>
      <c r="C40" s="14">
        <f>נתונים!B43</f>
        <v>14165.964567216037</v>
      </c>
      <c r="D40" s="10">
        <f>B40*נתונים!B14/12</f>
        <v>10248.630344340902</v>
      </c>
      <c r="E40" s="10">
        <f t="shared" si="0"/>
        <v>3917.3342228751353</v>
      </c>
      <c r="F40" s="10">
        <f t="shared" si="1"/>
        <v>2558240.2518623504</v>
      </c>
    </row>
    <row r="41" spans="1:6" x14ac:dyDescent="0.25">
      <c r="A41" s="4">
        <v>40</v>
      </c>
      <c r="B41" s="10">
        <f t="shared" si="2"/>
        <v>2558240.2518623504</v>
      </c>
      <c r="C41" s="14">
        <f>נתונים!B43</f>
        <v>14165.964567216037</v>
      </c>
      <c r="D41" s="10">
        <f>B41*נתונים!B14/12</f>
        <v>10232.961007449401</v>
      </c>
      <c r="E41" s="10">
        <f t="shared" si="0"/>
        <v>3933.0035597666356</v>
      </c>
      <c r="F41" s="10">
        <f t="shared" si="1"/>
        <v>2554307.2483025836</v>
      </c>
    </row>
    <row r="42" spans="1:6" x14ac:dyDescent="0.25">
      <c r="A42" s="4">
        <v>41</v>
      </c>
      <c r="B42" s="10">
        <f t="shared" si="2"/>
        <v>2554307.2483025836</v>
      </c>
      <c r="C42" s="14">
        <f>נתונים!B43</f>
        <v>14165.964567216037</v>
      </c>
      <c r="D42" s="10">
        <f>B42*נתונים!B14/12</f>
        <v>10217.228993210334</v>
      </c>
      <c r="E42" s="10">
        <f t="shared" si="0"/>
        <v>3948.7355740057028</v>
      </c>
      <c r="F42" s="10">
        <f t="shared" si="1"/>
        <v>2550358.5127285779</v>
      </c>
    </row>
    <row r="43" spans="1:6" x14ac:dyDescent="0.25">
      <c r="A43" s="4">
        <v>42</v>
      </c>
      <c r="B43" s="10">
        <f t="shared" si="2"/>
        <v>2550358.5127285779</v>
      </c>
      <c r="C43" s="14">
        <f>נתונים!B43</f>
        <v>14165.964567216037</v>
      </c>
      <c r="D43" s="10">
        <f>B43*נתונים!B14/12</f>
        <v>10201.434050914313</v>
      </c>
      <c r="E43" s="10">
        <f t="shared" si="0"/>
        <v>3964.5305163017238</v>
      </c>
      <c r="F43" s="10">
        <f t="shared" si="1"/>
        <v>2546393.9822122762</v>
      </c>
    </row>
    <row r="44" spans="1:6" x14ac:dyDescent="0.25">
      <c r="A44" s="4">
        <v>43</v>
      </c>
      <c r="B44" s="10">
        <f t="shared" si="2"/>
        <v>2546393.9822122762</v>
      </c>
      <c r="C44" s="14">
        <f>נתונים!B43</f>
        <v>14165.964567216037</v>
      </c>
      <c r="D44" s="10">
        <f>B44*נתונים!B14/12</f>
        <v>10185.575928849104</v>
      </c>
      <c r="E44" s="10">
        <f t="shared" si="0"/>
        <v>3980.3886383669324</v>
      </c>
      <c r="F44" s="10">
        <f t="shared" si="1"/>
        <v>2542413.5935739093</v>
      </c>
    </row>
    <row r="45" spans="1:6" x14ac:dyDescent="0.25">
      <c r="A45" s="4">
        <v>44</v>
      </c>
      <c r="B45" s="10">
        <f t="shared" si="2"/>
        <v>2542413.5935739093</v>
      </c>
      <c r="C45" s="14">
        <f>נתונים!B43</f>
        <v>14165.964567216037</v>
      </c>
      <c r="D45" s="10">
        <f>B45*נתונים!B14/12</f>
        <v>10169.654374295636</v>
      </c>
      <c r="E45" s="10">
        <f t="shared" si="0"/>
        <v>3996.3101929204004</v>
      </c>
      <c r="F45" s="10">
        <f t="shared" si="1"/>
        <v>2538417.283380989</v>
      </c>
    </row>
    <row r="46" spans="1:6" x14ac:dyDescent="0.25">
      <c r="A46" s="4">
        <v>45</v>
      </c>
      <c r="B46" s="10">
        <f t="shared" si="2"/>
        <v>2538417.283380989</v>
      </c>
      <c r="C46" s="14">
        <f>נתונים!B43</f>
        <v>14165.964567216037</v>
      </c>
      <c r="D46" s="10">
        <f>B46*נתונים!B14/12</f>
        <v>10153.669133523956</v>
      </c>
      <c r="E46" s="10">
        <f t="shared" si="0"/>
        <v>4012.2954336920811</v>
      </c>
      <c r="F46" s="10">
        <f t="shared" si="1"/>
        <v>2534404.9879472968</v>
      </c>
    </row>
    <row r="47" spans="1:6" x14ac:dyDescent="0.25">
      <c r="A47" s="4">
        <v>46</v>
      </c>
      <c r="B47" s="10">
        <f t="shared" si="2"/>
        <v>2534404.9879472968</v>
      </c>
      <c r="C47" s="14">
        <f>נתונים!B43</f>
        <v>14165.964567216037</v>
      </c>
      <c r="D47" s="10">
        <f>B47*נתונים!B14/12</f>
        <v>10137.619951789187</v>
      </c>
      <c r="E47" s="10">
        <f t="shared" si="0"/>
        <v>4028.3446154268495</v>
      </c>
      <c r="F47" s="10">
        <f t="shared" si="1"/>
        <v>2530376.64333187</v>
      </c>
    </row>
    <row r="48" spans="1:6" x14ac:dyDescent="0.25">
      <c r="A48" s="4">
        <v>47</v>
      </c>
      <c r="B48" s="10">
        <f t="shared" si="2"/>
        <v>2530376.64333187</v>
      </c>
      <c r="C48" s="14">
        <f>נתונים!B43</f>
        <v>14165.964567216037</v>
      </c>
      <c r="D48" s="10">
        <f>B48*נתונים!B14/12</f>
        <v>10121.506573327481</v>
      </c>
      <c r="E48" s="10">
        <f t="shared" si="0"/>
        <v>4044.4579938885563</v>
      </c>
      <c r="F48" s="10">
        <f t="shared" si="1"/>
        <v>2526332.1853379812</v>
      </c>
    </row>
    <row r="49" spans="1:6" x14ac:dyDescent="0.25">
      <c r="A49" s="4">
        <v>48</v>
      </c>
      <c r="B49" s="10">
        <f t="shared" si="2"/>
        <v>2526332.1853379812</v>
      </c>
      <c r="C49" s="14">
        <f>נתונים!B43</f>
        <v>14165.964567216037</v>
      </c>
      <c r="D49" s="10">
        <f>B49*נתונים!B14/12</f>
        <v>10105.328741351925</v>
      </c>
      <c r="E49" s="10">
        <f t="shared" si="0"/>
        <v>4060.6358258641121</v>
      </c>
      <c r="F49" s="10">
        <f t="shared" si="1"/>
        <v>2522271.5495121172</v>
      </c>
    </row>
    <row r="50" spans="1:6" x14ac:dyDescent="0.25">
      <c r="A50" s="4">
        <v>49</v>
      </c>
      <c r="B50" s="10">
        <f t="shared" si="2"/>
        <v>2522271.5495121172</v>
      </c>
      <c r="C50" s="14">
        <f>נתונים!B43</f>
        <v>14165.964567216037</v>
      </c>
      <c r="D50" s="10">
        <f>B50*נתונים!B14/12</f>
        <v>10089.086198048468</v>
      </c>
      <c r="E50" s="10">
        <f t="shared" si="0"/>
        <v>4076.878369167569</v>
      </c>
      <c r="F50" s="10">
        <f t="shared" si="1"/>
        <v>2518194.6711429497</v>
      </c>
    </row>
    <row r="51" spans="1:6" x14ac:dyDescent="0.25">
      <c r="A51" s="4">
        <v>50</v>
      </c>
      <c r="B51" s="10">
        <f t="shared" si="2"/>
        <v>2518194.6711429497</v>
      </c>
      <c r="C51" s="14">
        <f>נתונים!B43</f>
        <v>14165.964567216037</v>
      </c>
      <c r="D51" s="10">
        <f>B51*נתונים!B14/12</f>
        <v>10072.778684571798</v>
      </c>
      <c r="E51" s="10">
        <f t="shared" si="0"/>
        <v>4093.1858826442385</v>
      </c>
      <c r="F51" s="10">
        <f t="shared" si="1"/>
        <v>2514101.4852603055</v>
      </c>
    </row>
    <row r="52" spans="1:6" x14ac:dyDescent="0.25">
      <c r="A52" s="4">
        <v>51</v>
      </c>
      <c r="B52" s="10">
        <f t="shared" si="2"/>
        <v>2514101.4852603055</v>
      </c>
      <c r="C52" s="14">
        <f>נתונים!B43</f>
        <v>14165.964567216037</v>
      </c>
      <c r="D52" s="10">
        <f>B52*נתונים!B14/12</f>
        <v>10056.405941041221</v>
      </c>
      <c r="E52" s="10">
        <f t="shared" si="0"/>
        <v>4109.5586261748158</v>
      </c>
      <c r="F52" s="10">
        <f t="shared" si="1"/>
        <v>2509991.9266341305</v>
      </c>
    </row>
    <row r="53" spans="1:6" x14ac:dyDescent="0.25">
      <c r="A53" s="4">
        <v>52</v>
      </c>
      <c r="B53" s="10">
        <f t="shared" si="2"/>
        <v>2509991.9266341305</v>
      </c>
      <c r="C53" s="14">
        <f>נתונים!B43</f>
        <v>14165.964567216037</v>
      </c>
      <c r="D53" s="10">
        <f>B53*נתונים!B14/12</f>
        <v>10039.967706536523</v>
      </c>
      <c r="E53" s="10">
        <f t="shared" si="0"/>
        <v>4125.9968606795137</v>
      </c>
      <c r="F53" s="10">
        <f t="shared" si="1"/>
        <v>2505865.9297734508</v>
      </c>
    </row>
    <row r="54" spans="1:6" x14ac:dyDescent="0.25">
      <c r="A54" s="4">
        <v>53</v>
      </c>
      <c r="B54" s="10">
        <f t="shared" si="2"/>
        <v>2505865.9297734508</v>
      </c>
      <c r="C54" s="14">
        <f>נתונים!B43</f>
        <v>14165.964567216037</v>
      </c>
      <c r="D54" s="10">
        <f>B54*נתונים!B14/12</f>
        <v>10023.463719093803</v>
      </c>
      <c r="E54" s="10">
        <f t="shared" si="0"/>
        <v>4142.5008481222339</v>
      </c>
      <c r="F54" s="10">
        <f t="shared" si="1"/>
        <v>2501723.4289253284</v>
      </c>
    </row>
    <row r="55" spans="1:6" x14ac:dyDescent="0.25">
      <c r="A55" s="4">
        <v>54</v>
      </c>
      <c r="B55" s="10">
        <f t="shared" si="2"/>
        <v>2501723.4289253284</v>
      </c>
      <c r="C55" s="14">
        <f>נתונים!B43</f>
        <v>14165.964567216037</v>
      </c>
      <c r="D55" s="10">
        <f>B55*נתונים!B14/12</f>
        <v>10006.893715701313</v>
      </c>
      <c r="E55" s="10">
        <f t="shared" si="0"/>
        <v>4159.0708515147235</v>
      </c>
      <c r="F55" s="10">
        <f t="shared" si="1"/>
        <v>2497564.3580738138</v>
      </c>
    </row>
    <row r="56" spans="1:6" x14ac:dyDescent="0.25">
      <c r="A56" s="4">
        <v>55</v>
      </c>
      <c r="B56" s="10">
        <f t="shared" si="2"/>
        <v>2497564.3580738138</v>
      </c>
      <c r="C56" s="14">
        <f>נתונים!B43</f>
        <v>14165.964567216037</v>
      </c>
      <c r="D56" s="10">
        <f>B56*נתונים!B14/12</f>
        <v>9990.2574322952551</v>
      </c>
      <c r="E56" s="10">
        <f t="shared" si="0"/>
        <v>4175.7071349207818</v>
      </c>
      <c r="F56" s="10">
        <f t="shared" si="1"/>
        <v>2493388.6509388932</v>
      </c>
    </row>
    <row r="57" spans="1:6" x14ac:dyDescent="0.25">
      <c r="A57" s="4">
        <v>56</v>
      </c>
      <c r="B57" s="10">
        <f t="shared" si="2"/>
        <v>2493388.6509388932</v>
      </c>
      <c r="C57" s="14">
        <f>נתונים!B43</f>
        <v>14165.964567216037</v>
      </c>
      <c r="D57" s="10">
        <f>B57*נתונים!B14/12</f>
        <v>9973.5546037555741</v>
      </c>
      <c r="E57" s="10">
        <f t="shared" si="0"/>
        <v>4192.4099634604627</v>
      </c>
      <c r="F57" s="10">
        <f t="shared" si="1"/>
        <v>2489196.2409754326</v>
      </c>
    </row>
    <row r="58" spans="1:6" x14ac:dyDescent="0.25">
      <c r="A58" s="4">
        <v>57</v>
      </c>
      <c r="B58" s="10">
        <f t="shared" si="2"/>
        <v>2489196.2409754326</v>
      </c>
      <c r="C58" s="14">
        <f>נתונים!B43</f>
        <v>14165.964567216037</v>
      </c>
      <c r="D58" s="10">
        <f>B58*נתונים!B14/12</f>
        <v>9956.7849639017313</v>
      </c>
      <c r="E58" s="10">
        <f t="shared" si="0"/>
        <v>4209.1796033143055</v>
      </c>
      <c r="F58" s="10">
        <f t="shared" si="1"/>
        <v>2484987.0613721181</v>
      </c>
    </row>
    <row r="59" spans="1:6" x14ac:dyDescent="0.25">
      <c r="A59" s="4">
        <v>58</v>
      </c>
      <c r="B59" s="10">
        <f t="shared" si="2"/>
        <v>2484987.0613721181</v>
      </c>
      <c r="C59" s="14">
        <f>נתונים!B43</f>
        <v>14165.964567216037</v>
      </c>
      <c r="D59" s="10">
        <f>B59*נתונים!B14/12</f>
        <v>9939.9482454884728</v>
      </c>
      <c r="E59" s="10">
        <f t="shared" si="0"/>
        <v>4226.016321727564</v>
      </c>
      <c r="F59" s="10">
        <f t="shared" si="1"/>
        <v>2480761.0450503905</v>
      </c>
    </row>
    <row r="60" spans="1:6" x14ac:dyDescent="0.25">
      <c r="A60" s="4">
        <v>59</v>
      </c>
      <c r="B60" s="10">
        <f t="shared" si="2"/>
        <v>2480761.0450503905</v>
      </c>
      <c r="C60" s="14">
        <f>נתונים!B43</f>
        <v>14165.964567216037</v>
      </c>
      <c r="D60" s="10">
        <f>B60*נתונים!B14/12</f>
        <v>9923.0441802015612</v>
      </c>
      <c r="E60" s="10">
        <f t="shared" si="0"/>
        <v>4242.9203870144756</v>
      </c>
      <c r="F60" s="10">
        <f t="shared" si="1"/>
        <v>2476518.1246633762</v>
      </c>
    </row>
    <row r="61" spans="1:6" x14ac:dyDescent="0.25">
      <c r="A61" s="4">
        <v>60</v>
      </c>
      <c r="B61" s="10">
        <f t="shared" si="2"/>
        <v>2476518.1246633762</v>
      </c>
      <c r="C61" s="14">
        <f>נתונים!B43</f>
        <v>14165.964567216037</v>
      </c>
      <c r="D61" s="10">
        <f>B61*נתונים!B14/12</f>
        <v>9906.0724986535042</v>
      </c>
      <c r="E61" s="10">
        <f t="shared" si="0"/>
        <v>4259.8920685625326</v>
      </c>
      <c r="F61" s="10">
        <f t="shared" si="1"/>
        <v>2472258.2325948137</v>
      </c>
    </row>
    <row r="62" spans="1:6" x14ac:dyDescent="0.25">
      <c r="A62" s="4">
        <v>61</v>
      </c>
      <c r="B62" s="10">
        <f t="shared" si="2"/>
        <v>2472258.2325948137</v>
      </c>
      <c r="C62" s="14">
        <f>נתונים!B43</f>
        <v>14165.964567216037</v>
      </c>
      <c r="D62" s="10">
        <f>B62*נתונים!B14/12</f>
        <v>9889.032930379255</v>
      </c>
      <c r="E62" s="10">
        <f t="shared" si="0"/>
        <v>4276.9316368367818</v>
      </c>
      <c r="F62" s="10">
        <f t="shared" si="1"/>
        <v>2467981.3009579768</v>
      </c>
    </row>
    <row r="63" spans="1:6" x14ac:dyDescent="0.25">
      <c r="A63" s="4">
        <v>62</v>
      </c>
      <c r="B63" s="10">
        <f t="shared" si="2"/>
        <v>2467981.3009579768</v>
      </c>
      <c r="C63" s="14">
        <f>נתונים!B43</f>
        <v>14165.964567216037</v>
      </c>
      <c r="D63" s="10">
        <f>B63*נתונים!B14/12</f>
        <v>9871.9252038319082</v>
      </c>
      <c r="E63" s="10">
        <f t="shared" si="0"/>
        <v>4294.0393633841286</v>
      </c>
      <c r="F63" s="10">
        <f t="shared" si="1"/>
        <v>2463687.2615945926</v>
      </c>
    </row>
    <row r="64" spans="1:6" x14ac:dyDescent="0.25">
      <c r="A64" s="4">
        <v>63</v>
      </c>
      <c r="B64" s="10">
        <f t="shared" si="2"/>
        <v>2463687.2615945926</v>
      </c>
      <c r="C64" s="14">
        <f>נתונים!B43</f>
        <v>14165.964567216037</v>
      </c>
      <c r="D64" s="10">
        <f>B64*נתונים!B14/12</f>
        <v>9854.7490463783706</v>
      </c>
      <c r="E64" s="10">
        <f t="shared" si="0"/>
        <v>4311.2155208376662</v>
      </c>
      <c r="F64" s="10">
        <f t="shared" si="1"/>
        <v>2459376.0460737548</v>
      </c>
    </row>
    <row r="65" spans="1:6" x14ac:dyDescent="0.25">
      <c r="A65" s="4">
        <v>64</v>
      </c>
      <c r="B65" s="10">
        <f t="shared" si="2"/>
        <v>2459376.0460737548</v>
      </c>
      <c r="C65" s="14">
        <f>נתונים!B43</f>
        <v>14165.964567216037</v>
      </c>
      <c r="D65" s="10">
        <f>B65*נתונים!B14/12</f>
        <v>9837.5041842950195</v>
      </c>
      <c r="E65" s="10">
        <f t="shared" si="0"/>
        <v>4328.4603829210173</v>
      </c>
      <c r="F65" s="10">
        <f t="shared" si="1"/>
        <v>2455047.5856908336</v>
      </c>
    </row>
    <row r="66" spans="1:6" x14ac:dyDescent="0.25">
      <c r="A66" s="4">
        <v>65</v>
      </c>
      <c r="B66" s="10">
        <f t="shared" si="2"/>
        <v>2455047.5856908336</v>
      </c>
      <c r="C66" s="14">
        <f>נתונים!B43</f>
        <v>14165.964567216037</v>
      </c>
      <c r="D66" s="10">
        <f>B66*נתונים!B14/12</f>
        <v>9820.1903427633351</v>
      </c>
      <c r="E66" s="10">
        <f t="shared" ref="E66:E129" si="3">C66-D66</f>
        <v>4345.7742244527017</v>
      </c>
      <c r="F66" s="10">
        <f t="shared" ref="F66:F129" si="4">B66-E66</f>
        <v>2450701.811466381</v>
      </c>
    </row>
    <row r="67" spans="1:6" x14ac:dyDescent="0.25">
      <c r="A67" s="4">
        <v>66</v>
      </c>
      <c r="B67" s="10">
        <f t="shared" ref="B67:B130" si="5">F66</f>
        <v>2450701.811466381</v>
      </c>
      <c r="C67" s="14">
        <f>נתונים!B43</f>
        <v>14165.964567216037</v>
      </c>
      <c r="D67" s="10">
        <f>B67*נתונים!B14/12</f>
        <v>9802.8072458655242</v>
      </c>
      <c r="E67" s="10">
        <f t="shared" si="3"/>
        <v>4363.1573213505126</v>
      </c>
      <c r="F67" s="10">
        <f t="shared" si="4"/>
        <v>2446338.6541450303</v>
      </c>
    </row>
    <row r="68" spans="1:6" x14ac:dyDescent="0.25">
      <c r="A68" s="4">
        <v>67</v>
      </c>
      <c r="B68" s="10">
        <f t="shared" si="5"/>
        <v>2446338.6541450303</v>
      </c>
      <c r="C68" s="14">
        <f>נתונים!B43</f>
        <v>14165.964567216037</v>
      </c>
      <c r="D68" s="10">
        <f>B68*נתונים!B14/12</f>
        <v>9785.3546165801217</v>
      </c>
      <c r="E68" s="10">
        <f t="shared" si="3"/>
        <v>4380.6099506359151</v>
      </c>
      <c r="F68" s="10">
        <f t="shared" si="4"/>
        <v>2441958.0441943943</v>
      </c>
    </row>
    <row r="69" spans="1:6" x14ac:dyDescent="0.25">
      <c r="A69" s="4">
        <v>68</v>
      </c>
      <c r="B69" s="10">
        <f t="shared" si="5"/>
        <v>2441958.0441943943</v>
      </c>
      <c r="C69" s="14">
        <f>נתונים!B43</f>
        <v>14165.964567216037</v>
      </c>
      <c r="D69" s="10">
        <f>B69*נתונים!B14/12</f>
        <v>9767.832176777576</v>
      </c>
      <c r="E69" s="10">
        <f t="shared" si="3"/>
        <v>4398.1323904384608</v>
      </c>
      <c r="F69" s="10">
        <f t="shared" si="4"/>
        <v>2437559.9118039557</v>
      </c>
    </row>
    <row r="70" spans="1:6" x14ac:dyDescent="0.25">
      <c r="A70" s="4">
        <v>69</v>
      </c>
      <c r="B70" s="10">
        <f t="shared" si="5"/>
        <v>2437559.9118039557</v>
      </c>
      <c r="C70" s="14">
        <f>נתונים!B43</f>
        <v>14165.964567216037</v>
      </c>
      <c r="D70" s="10">
        <f>B70*נתונים!B14/12</f>
        <v>9750.2396472158234</v>
      </c>
      <c r="E70" s="10">
        <f t="shared" si="3"/>
        <v>4415.7249200002134</v>
      </c>
      <c r="F70" s="10">
        <f t="shared" si="4"/>
        <v>2433144.1868839553</v>
      </c>
    </row>
    <row r="71" spans="1:6" x14ac:dyDescent="0.25">
      <c r="A71" s="4">
        <v>70</v>
      </c>
      <c r="B71" s="10">
        <f t="shared" si="5"/>
        <v>2433144.1868839553</v>
      </c>
      <c r="C71" s="14">
        <f>נתונים!B43</f>
        <v>14165.964567216037</v>
      </c>
      <c r="D71" s="10">
        <f>B71*נתונים!B14/12</f>
        <v>9732.5767475358207</v>
      </c>
      <c r="E71" s="10">
        <f t="shared" si="3"/>
        <v>4433.3878196802161</v>
      </c>
      <c r="F71" s="10">
        <f t="shared" si="4"/>
        <v>2428710.7990642749</v>
      </c>
    </row>
    <row r="72" spans="1:6" x14ac:dyDescent="0.25">
      <c r="A72" s="4">
        <v>71</v>
      </c>
      <c r="B72" s="10">
        <f t="shared" si="5"/>
        <v>2428710.7990642749</v>
      </c>
      <c r="C72" s="14">
        <f>נתונים!B43</f>
        <v>14165.964567216037</v>
      </c>
      <c r="D72" s="10">
        <f>B72*נתונים!B14/12</f>
        <v>9714.8431962570994</v>
      </c>
      <c r="E72" s="10">
        <f t="shared" si="3"/>
        <v>4451.1213709589374</v>
      </c>
      <c r="F72" s="10">
        <f t="shared" si="4"/>
        <v>2424259.6776933158</v>
      </c>
    </row>
    <row r="73" spans="1:6" x14ac:dyDescent="0.25">
      <c r="A73" s="4">
        <v>72</v>
      </c>
      <c r="B73" s="10">
        <f t="shared" si="5"/>
        <v>2424259.6776933158</v>
      </c>
      <c r="C73" s="14">
        <f>נתונים!B43</f>
        <v>14165.964567216037</v>
      </c>
      <c r="D73" s="10">
        <f>B73*נתונים!B14/12</f>
        <v>9697.0387107732622</v>
      </c>
      <c r="E73" s="10">
        <f t="shared" si="3"/>
        <v>4468.9258564427746</v>
      </c>
      <c r="F73" s="10">
        <f t="shared" si="4"/>
        <v>2419790.7518368731</v>
      </c>
    </row>
    <row r="74" spans="1:6" x14ac:dyDescent="0.25">
      <c r="A74" s="4">
        <v>73</v>
      </c>
      <c r="B74" s="10">
        <f t="shared" si="5"/>
        <v>2419790.7518368731</v>
      </c>
      <c r="C74" s="14">
        <f>נתונים!B43</f>
        <v>14165.964567216037</v>
      </c>
      <c r="D74" s="10">
        <f>B74*נתונים!B14/12</f>
        <v>9679.1630073474935</v>
      </c>
      <c r="E74" s="10">
        <f t="shared" si="3"/>
        <v>4486.8015598685433</v>
      </c>
      <c r="F74" s="10">
        <f t="shared" si="4"/>
        <v>2415303.9502770044</v>
      </c>
    </row>
    <row r="75" spans="1:6" x14ac:dyDescent="0.25">
      <c r="A75" s="4">
        <v>74</v>
      </c>
      <c r="B75" s="10">
        <f t="shared" si="5"/>
        <v>2415303.9502770044</v>
      </c>
      <c r="C75" s="14">
        <f>נתונים!B43</f>
        <v>14165.964567216037</v>
      </c>
      <c r="D75" s="10">
        <f>B75*נתונים!B14/12</f>
        <v>9661.2158011080173</v>
      </c>
      <c r="E75" s="10">
        <f t="shared" si="3"/>
        <v>4504.7487661080195</v>
      </c>
      <c r="F75" s="10">
        <f t="shared" si="4"/>
        <v>2410799.2015108964</v>
      </c>
    </row>
    <row r="76" spans="1:6" x14ac:dyDescent="0.25">
      <c r="A76" s="4">
        <v>75</v>
      </c>
      <c r="B76" s="10">
        <f t="shared" si="5"/>
        <v>2410799.2015108964</v>
      </c>
      <c r="C76" s="14">
        <f>נתונים!B43</f>
        <v>14165.964567216037</v>
      </c>
      <c r="D76" s="10">
        <f>B76*נתונים!B14/12</f>
        <v>9643.1968060435865</v>
      </c>
      <c r="E76" s="10">
        <f t="shared" si="3"/>
        <v>4522.7677611724503</v>
      </c>
      <c r="F76" s="10">
        <f t="shared" si="4"/>
        <v>2406276.4337497242</v>
      </c>
    </row>
    <row r="77" spans="1:6" x14ac:dyDescent="0.25">
      <c r="A77" s="4">
        <v>76</v>
      </c>
      <c r="B77" s="10">
        <f t="shared" si="5"/>
        <v>2406276.4337497242</v>
      </c>
      <c r="C77" s="14">
        <f>נתונים!B43</f>
        <v>14165.964567216037</v>
      </c>
      <c r="D77" s="10">
        <f>B77*נתונים!B14/12</f>
        <v>9625.1057349988969</v>
      </c>
      <c r="E77" s="10">
        <f t="shared" si="3"/>
        <v>4540.8588322171399</v>
      </c>
      <c r="F77" s="10">
        <f t="shared" si="4"/>
        <v>2401735.5749175069</v>
      </c>
    </row>
    <row r="78" spans="1:6" x14ac:dyDescent="0.25">
      <c r="A78" s="4">
        <v>77</v>
      </c>
      <c r="B78" s="10">
        <f t="shared" si="5"/>
        <v>2401735.5749175069</v>
      </c>
      <c r="C78" s="14">
        <f>נתונים!B43</f>
        <v>14165.964567216037</v>
      </c>
      <c r="D78" s="10">
        <f>B78*נתונים!B14/12</f>
        <v>9606.9422996700287</v>
      </c>
      <c r="E78" s="10">
        <f t="shared" si="3"/>
        <v>4559.0222675460082</v>
      </c>
      <c r="F78" s="10">
        <f t="shared" si="4"/>
        <v>2397176.5526499609</v>
      </c>
    </row>
    <row r="79" spans="1:6" x14ac:dyDescent="0.25">
      <c r="A79" s="4">
        <v>78</v>
      </c>
      <c r="B79" s="10">
        <f t="shared" si="5"/>
        <v>2397176.5526499609</v>
      </c>
      <c r="C79" s="14">
        <f>נתונים!B43</f>
        <v>14165.964567216037</v>
      </c>
      <c r="D79" s="10">
        <f>B79*נתונים!B14/12</f>
        <v>9588.706210599843</v>
      </c>
      <c r="E79" s="10">
        <f t="shared" si="3"/>
        <v>4577.2583566161939</v>
      </c>
      <c r="F79" s="10">
        <f t="shared" si="4"/>
        <v>2392599.2942933445</v>
      </c>
    </row>
    <row r="80" spans="1:6" x14ac:dyDescent="0.25">
      <c r="A80" s="4">
        <v>79</v>
      </c>
      <c r="B80" s="10">
        <f t="shared" si="5"/>
        <v>2392599.2942933445</v>
      </c>
      <c r="C80" s="14">
        <f>נתונים!B43</f>
        <v>14165.964567216037</v>
      </c>
      <c r="D80" s="10">
        <f>B80*נתונים!B14/12</f>
        <v>9570.3971771733777</v>
      </c>
      <c r="E80" s="10">
        <f t="shared" si="3"/>
        <v>4595.5673900426591</v>
      </c>
      <c r="F80" s="10">
        <f t="shared" si="4"/>
        <v>2388003.7269033017</v>
      </c>
    </row>
    <row r="81" spans="1:6" x14ac:dyDescent="0.25">
      <c r="A81" s="4">
        <v>80</v>
      </c>
      <c r="B81" s="10">
        <f t="shared" si="5"/>
        <v>2388003.7269033017</v>
      </c>
      <c r="C81" s="14">
        <f>נתונים!B43</f>
        <v>14165.964567216037</v>
      </c>
      <c r="D81" s="10">
        <f>B81*נתונים!B14/12</f>
        <v>9552.0149076132057</v>
      </c>
      <c r="E81" s="10">
        <f t="shared" si="3"/>
        <v>4613.9496596028312</v>
      </c>
      <c r="F81" s="10">
        <f t="shared" si="4"/>
        <v>2383389.7772436989</v>
      </c>
    </row>
    <row r="82" spans="1:6" x14ac:dyDescent="0.25">
      <c r="A82" s="4">
        <v>81</v>
      </c>
      <c r="B82" s="10">
        <f t="shared" si="5"/>
        <v>2383389.7772436989</v>
      </c>
      <c r="C82" s="14">
        <f>נתונים!B43</f>
        <v>14165.964567216037</v>
      </c>
      <c r="D82" s="10">
        <f>B82*נתונים!B14/12</f>
        <v>9533.5591089747959</v>
      </c>
      <c r="E82" s="10">
        <f t="shared" si="3"/>
        <v>4632.4054582412409</v>
      </c>
      <c r="F82" s="10">
        <f t="shared" si="4"/>
        <v>2378757.3717854577</v>
      </c>
    </row>
    <row r="83" spans="1:6" x14ac:dyDescent="0.25">
      <c r="A83" s="4">
        <v>82</v>
      </c>
      <c r="B83" s="10">
        <f t="shared" si="5"/>
        <v>2378757.3717854577</v>
      </c>
      <c r="C83" s="14">
        <f>נתונים!B43</f>
        <v>14165.964567216037</v>
      </c>
      <c r="D83" s="10">
        <f>B83*נתונים!B14/12</f>
        <v>9515.0294871418319</v>
      </c>
      <c r="E83" s="10">
        <f t="shared" si="3"/>
        <v>4650.935080074205</v>
      </c>
      <c r="F83" s="10">
        <f t="shared" si="4"/>
        <v>2374106.4367053835</v>
      </c>
    </row>
    <row r="84" spans="1:6" x14ac:dyDescent="0.25">
      <c r="A84" s="4">
        <v>83</v>
      </c>
      <c r="B84" s="10">
        <f t="shared" si="5"/>
        <v>2374106.4367053835</v>
      </c>
      <c r="C84" s="14">
        <f>נתונים!B43</f>
        <v>14165.964567216037</v>
      </c>
      <c r="D84" s="10">
        <f>B84*נתונים!B14/12</f>
        <v>9496.4257468215346</v>
      </c>
      <c r="E84" s="10">
        <f t="shared" si="3"/>
        <v>4669.5388203945022</v>
      </c>
      <c r="F84" s="10">
        <f t="shared" si="4"/>
        <v>2369436.8978849892</v>
      </c>
    </row>
    <row r="85" spans="1:6" x14ac:dyDescent="0.25">
      <c r="A85" s="4">
        <v>84</v>
      </c>
      <c r="B85" s="10">
        <f t="shared" si="5"/>
        <v>2369436.8978849892</v>
      </c>
      <c r="C85" s="14">
        <f>נתונים!B43</f>
        <v>14165.964567216037</v>
      </c>
      <c r="D85" s="10">
        <f>B85*נתונים!B14/12</f>
        <v>9477.7475915399573</v>
      </c>
      <c r="E85" s="10">
        <f t="shared" si="3"/>
        <v>4688.2169756760795</v>
      </c>
      <c r="F85" s="10">
        <f t="shared" si="4"/>
        <v>2364748.6809093133</v>
      </c>
    </row>
    <row r="86" spans="1:6" x14ac:dyDescent="0.25">
      <c r="A86" s="4">
        <v>85</v>
      </c>
      <c r="B86" s="10">
        <f t="shared" si="5"/>
        <v>2364748.6809093133</v>
      </c>
      <c r="C86" s="14">
        <f>נתונים!B43</f>
        <v>14165.964567216037</v>
      </c>
      <c r="D86" s="10">
        <f>B86*נתונים!B14/12</f>
        <v>9458.9947236372536</v>
      </c>
      <c r="E86" s="10">
        <f t="shared" si="3"/>
        <v>4706.9698435787832</v>
      </c>
      <c r="F86" s="10">
        <f t="shared" si="4"/>
        <v>2360041.7110657343</v>
      </c>
    </row>
    <row r="87" spans="1:6" x14ac:dyDescent="0.25">
      <c r="A87" s="4">
        <v>86</v>
      </c>
      <c r="B87" s="10">
        <f t="shared" si="5"/>
        <v>2360041.7110657343</v>
      </c>
      <c r="C87" s="14">
        <f>נתונים!B43</f>
        <v>14165.964567216037</v>
      </c>
      <c r="D87" s="10">
        <f>B87*נתונים!B14/12</f>
        <v>9440.1668442629361</v>
      </c>
      <c r="E87" s="10">
        <f t="shared" si="3"/>
        <v>4725.7977229531007</v>
      </c>
      <c r="F87" s="10">
        <f t="shared" si="4"/>
        <v>2355315.9133427814</v>
      </c>
    </row>
    <row r="88" spans="1:6" x14ac:dyDescent="0.25">
      <c r="A88" s="4">
        <v>87</v>
      </c>
      <c r="B88" s="10">
        <f t="shared" si="5"/>
        <v>2355315.9133427814</v>
      </c>
      <c r="C88" s="14">
        <f>נתונים!B43</f>
        <v>14165.964567216037</v>
      </c>
      <c r="D88" s="10">
        <f>B88*נתונים!B14/12</f>
        <v>9421.2636533711247</v>
      </c>
      <c r="E88" s="10">
        <f t="shared" si="3"/>
        <v>4744.7009138449121</v>
      </c>
      <c r="F88" s="10">
        <f t="shared" si="4"/>
        <v>2350571.2124289363</v>
      </c>
    </row>
    <row r="89" spans="1:6" x14ac:dyDescent="0.25">
      <c r="A89" s="4">
        <v>88</v>
      </c>
      <c r="B89" s="10">
        <f t="shared" si="5"/>
        <v>2350571.2124289363</v>
      </c>
      <c r="C89" s="14">
        <f>נתונים!B43</f>
        <v>14165.964567216037</v>
      </c>
      <c r="D89" s="10">
        <f>B89*נתונים!B14/12</f>
        <v>9402.2848497157447</v>
      </c>
      <c r="E89" s="10">
        <f t="shared" si="3"/>
        <v>4763.6797175002921</v>
      </c>
      <c r="F89" s="10">
        <f t="shared" si="4"/>
        <v>2345807.532711436</v>
      </c>
    </row>
    <row r="90" spans="1:6" x14ac:dyDescent="0.25">
      <c r="A90" s="4">
        <v>89</v>
      </c>
      <c r="B90" s="10">
        <f t="shared" si="5"/>
        <v>2345807.532711436</v>
      </c>
      <c r="C90" s="14">
        <f>נתונים!B43</f>
        <v>14165.964567216037</v>
      </c>
      <c r="D90" s="10">
        <f>B90*נתונים!B14/12</f>
        <v>9383.2301308457445</v>
      </c>
      <c r="E90" s="10">
        <f t="shared" si="3"/>
        <v>4782.7344363702923</v>
      </c>
      <c r="F90" s="10">
        <f t="shared" si="4"/>
        <v>2341024.7982750656</v>
      </c>
    </row>
    <row r="91" spans="1:6" x14ac:dyDescent="0.25">
      <c r="A91" s="4">
        <v>90</v>
      </c>
      <c r="B91" s="10">
        <f t="shared" si="5"/>
        <v>2341024.7982750656</v>
      </c>
      <c r="C91" s="14">
        <f>נתונים!B43</f>
        <v>14165.964567216037</v>
      </c>
      <c r="D91" s="10">
        <f>B91*נתונים!B14/12</f>
        <v>9364.0991931002627</v>
      </c>
      <c r="E91" s="10">
        <f t="shared" si="3"/>
        <v>4801.8653741157741</v>
      </c>
      <c r="F91" s="10">
        <f t="shared" si="4"/>
        <v>2336222.9329009498</v>
      </c>
    </row>
    <row r="92" spans="1:6" x14ac:dyDescent="0.25">
      <c r="A92" s="4">
        <v>91</v>
      </c>
      <c r="B92" s="10">
        <f t="shared" si="5"/>
        <v>2336222.9329009498</v>
      </c>
      <c r="C92" s="14">
        <f>נתונים!B43</f>
        <v>14165.964567216037</v>
      </c>
      <c r="D92" s="10">
        <f>B92*נתונים!B14/12</f>
        <v>9344.8917316038005</v>
      </c>
      <c r="E92" s="10">
        <f t="shared" si="3"/>
        <v>4821.0728356122363</v>
      </c>
      <c r="F92" s="10">
        <f t="shared" si="4"/>
        <v>2331401.8600653377</v>
      </c>
    </row>
    <row r="93" spans="1:6" x14ac:dyDescent="0.25">
      <c r="A93" s="4">
        <v>92</v>
      </c>
      <c r="B93" s="10">
        <f t="shared" si="5"/>
        <v>2331401.8600653377</v>
      </c>
      <c r="C93" s="14">
        <f>נתונים!B43</f>
        <v>14165.964567216037</v>
      </c>
      <c r="D93" s="10">
        <f>B93*נתונים!B14/12</f>
        <v>9325.6074402613503</v>
      </c>
      <c r="E93" s="10">
        <f t="shared" si="3"/>
        <v>4840.3571269546865</v>
      </c>
      <c r="F93" s="10">
        <f t="shared" si="4"/>
        <v>2326561.5029383833</v>
      </c>
    </row>
    <row r="94" spans="1:6" x14ac:dyDescent="0.25">
      <c r="A94" s="4">
        <v>93</v>
      </c>
      <c r="B94" s="10">
        <f t="shared" si="5"/>
        <v>2326561.5029383833</v>
      </c>
      <c r="C94" s="14">
        <f>נתונים!B43</f>
        <v>14165.964567216037</v>
      </c>
      <c r="D94" s="10">
        <f>B94*נתונים!B14/12</f>
        <v>9306.2460117535338</v>
      </c>
      <c r="E94" s="10">
        <f t="shared" si="3"/>
        <v>4859.718555462503</v>
      </c>
      <c r="F94" s="10">
        <f t="shared" si="4"/>
        <v>2321701.7843829207</v>
      </c>
    </row>
    <row r="95" spans="1:6" x14ac:dyDescent="0.25">
      <c r="A95" s="4">
        <v>94</v>
      </c>
      <c r="B95" s="10">
        <f t="shared" si="5"/>
        <v>2321701.7843829207</v>
      </c>
      <c r="C95" s="14">
        <f>נתונים!B43</f>
        <v>14165.964567216037</v>
      </c>
      <c r="D95" s="10">
        <f>B95*נתונים!B14/12</f>
        <v>9286.8071375316831</v>
      </c>
      <c r="E95" s="10">
        <f t="shared" si="3"/>
        <v>4879.1574296843537</v>
      </c>
      <c r="F95" s="10">
        <f t="shared" si="4"/>
        <v>2316822.6269532363</v>
      </c>
    </row>
    <row r="96" spans="1:6" x14ac:dyDescent="0.25">
      <c r="A96" s="4">
        <v>95</v>
      </c>
      <c r="B96" s="10">
        <f t="shared" si="5"/>
        <v>2316822.6269532363</v>
      </c>
      <c r="C96" s="14">
        <f>נתונים!B43</f>
        <v>14165.964567216037</v>
      </c>
      <c r="D96" s="10">
        <f>B96*נתונים!B14/12</f>
        <v>9267.2905078129461</v>
      </c>
      <c r="E96" s="10">
        <f t="shared" si="3"/>
        <v>4898.6740594030907</v>
      </c>
      <c r="F96" s="10">
        <f t="shared" si="4"/>
        <v>2311923.9528938332</v>
      </c>
    </row>
    <row r="97" spans="1:6" x14ac:dyDescent="0.25">
      <c r="A97" s="4">
        <v>96</v>
      </c>
      <c r="B97" s="10">
        <f t="shared" si="5"/>
        <v>2311923.9528938332</v>
      </c>
      <c r="C97" s="14">
        <f>נתונים!B43</f>
        <v>14165.964567216037</v>
      </c>
      <c r="D97" s="10">
        <f>B97*נתונים!B14/12</f>
        <v>9247.6958115753332</v>
      </c>
      <c r="E97" s="10">
        <f t="shared" si="3"/>
        <v>4918.2687556407036</v>
      </c>
      <c r="F97" s="10">
        <f t="shared" si="4"/>
        <v>2307005.6841381923</v>
      </c>
    </row>
    <row r="98" spans="1:6" x14ac:dyDescent="0.25">
      <c r="A98" s="4">
        <v>97</v>
      </c>
      <c r="B98" s="10">
        <f t="shared" si="5"/>
        <v>2307005.6841381923</v>
      </c>
      <c r="C98" s="14">
        <f>נתונים!B43</f>
        <v>14165.964567216037</v>
      </c>
      <c r="D98" s="10">
        <f>B98*נתונים!B14/12</f>
        <v>9228.0227365527699</v>
      </c>
      <c r="E98" s="10">
        <f t="shared" si="3"/>
        <v>4937.941830663267</v>
      </c>
      <c r="F98" s="10">
        <f t="shared" si="4"/>
        <v>2302067.7423075289</v>
      </c>
    </row>
    <row r="99" spans="1:6" x14ac:dyDescent="0.25">
      <c r="A99" s="4">
        <v>98</v>
      </c>
      <c r="B99" s="10">
        <f t="shared" si="5"/>
        <v>2302067.7423075289</v>
      </c>
      <c r="C99" s="14">
        <f>נתונים!B43</f>
        <v>14165.964567216037</v>
      </c>
      <c r="D99" s="10">
        <f>B99*נתונים!B14/12</f>
        <v>9208.270969230116</v>
      </c>
      <c r="E99" s="10">
        <f t="shared" si="3"/>
        <v>4957.6935979859209</v>
      </c>
      <c r="F99" s="10">
        <f t="shared" si="4"/>
        <v>2297110.048709543</v>
      </c>
    </row>
    <row r="100" spans="1:6" x14ac:dyDescent="0.25">
      <c r="A100" s="4">
        <v>99</v>
      </c>
      <c r="B100" s="10">
        <f t="shared" si="5"/>
        <v>2297110.048709543</v>
      </c>
      <c r="C100" s="14">
        <f>נתונים!B43</f>
        <v>14165.964567216037</v>
      </c>
      <c r="D100" s="10">
        <f>B100*נתונים!B14/12</f>
        <v>9188.4401948381728</v>
      </c>
      <c r="E100" s="10">
        <f t="shared" si="3"/>
        <v>4977.524372377864</v>
      </c>
      <c r="F100" s="10">
        <f t="shared" si="4"/>
        <v>2292132.5243371651</v>
      </c>
    </row>
    <row r="101" spans="1:6" x14ac:dyDescent="0.25">
      <c r="A101" s="4">
        <v>100</v>
      </c>
      <c r="B101" s="10">
        <f t="shared" si="5"/>
        <v>2292132.5243371651</v>
      </c>
      <c r="C101" s="14">
        <f>נתונים!B43</f>
        <v>14165.964567216037</v>
      </c>
      <c r="D101" s="10">
        <f>B101*נתונים!B14/12</f>
        <v>9168.530097348661</v>
      </c>
      <c r="E101" s="10">
        <f t="shared" si="3"/>
        <v>4997.4344698673758</v>
      </c>
      <c r="F101" s="10">
        <f t="shared" si="4"/>
        <v>2287135.0898672976</v>
      </c>
    </row>
    <row r="102" spans="1:6" x14ac:dyDescent="0.25">
      <c r="A102" s="4">
        <v>101</v>
      </c>
      <c r="B102" s="10">
        <f t="shared" si="5"/>
        <v>2287135.0898672976</v>
      </c>
      <c r="C102" s="14">
        <f>נתונים!B43</f>
        <v>14165.964567216037</v>
      </c>
      <c r="D102" s="10">
        <f>B102*נתונים!B14/12</f>
        <v>9148.5403594691907</v>
      </c>
      <c r="E102" s="10">
        <f t="shared" si="3"/>
        <v>5017.4242077468462</v>
      </c>
      <c r="F102" s="10">
        <f t="shared" si="4"/>
        <v>2282117.6656595506</v>
      </c>
    </row>
    <row r="103" spans="1:6" x14ac:dyDescent="0.25">
      <c r="A103" s="4">
        <v>102</v>
      </c>
      <c r="B103" s="10">
        <f t="shared" si="5"/>
        <v>2282117.6656595506</v>
      </c>
      <c r="C103" s="14">
        <f>נתונים!B43</f>
        <v>14165.964567216037</v>
      </c>
      <c r="D103" s="10">
        <f>B103*נתונים!B14/12</f>
        <v>9128.4706626382031</v>
      </c>
      <c r="E103" s="10">
        <f t="shared" si="3"/>
        <v>5037.4939045778337</v>
      </c>
      <c r="F103" s="10">
        <f t="shared" si="4"/>
        <v>2277080.1717549725</v>
      </c>
    </row>
    <row r="104" spans="1:6" x14ac:dyDescent="0.25">
      <c r="A104" s="4">
        <v>103</v>
      </c>
      <c r="B104" s="10">
        <f t="shared" si="5"/>
        <v>2277080.1717549725</v>
      </c>
      <c r="C104" s="14">
        <f>נתונים!B43</f>
        <v>14165.964567216037</v>
      </c>
      <c r="D104" s="10">
        <f>B104*נתונים!B14/12</f>
        <v>9108.3206870198901</v>
      </c>
      <c r="E104" s="10">
        <f t="shared" si="3"/>
        <v>5057.6438801961467</v>
      </c>
      <c r="F104" s="10">
        <f t="shared" si="4"/>
        <v>2272022.5278747766</v>
      </c>
    </row>
    <row r="105" spans="1:6" x14ac:dyDescent="0.25">
      <c r="A105" s="4">
        <v>104</v>
      </c>
      <c r="B105" s="10">
        <f t="shared" si="5"/>
        <v>2272022.5278747766</v>
      </c>
      <c r="C105" s="14">
        <f>נתונים!B43</f>
        <v>14165.964567216037</v>
      </c>
      <c r="D105" s="10">
        <f>B105*נתונים!B14/12</f>
        <v>9088.0901114991066</v>
      </c>
      <c r="E105" s="10">
        <f t="shared" si="3"/>
        <v>5077.8744557169302</v>
      </c>
      <c r="F105" s="10">
        <f t="shared" si="4"/>
        <v>2266944.6534190597</v>
      </c>
    </row>
    <row r="106" spans="1:6" x14ac:dyDescent="0.25">
      <c r="A106" s="4">
        <v>105</v>
      </c>
      <c r="B106" s="10">
        <f t="shared" si="5"/>
        <v>2266944.6534190597</v>
      </c>
      <c r="C106" s="14">
        <f>נתונים!B43</f>
        <v>14165.964567216037</v>
      </c>
      <c r="D106" s="10">
        <f>B106*נתונים!B14/12</f>
        <v>9067.7786136762388</v>
      </c>
      <c r="E106" s="10">
        <f t="shared" si="3"/>
        <v>5098.185953539798</v>
      </c>
      <c r="F106" s="10">
        <f t="shared" si="4"/>
        <v>2261846.4674655199</v>
      </c>
    </row>
    <row r="107" spans="1:6" x14ac:dyDescent="0.25">
      <c r="A107" s="4">
        <v>106</v>
      </c>
      <c r="B107" s="10">
        <f t="shared" si="5"/>
        <v>2261846.4674655199</v>
      </c>
      <c r="C107" s="14">
        <f>נתונים!B43</f>
        <v>14165.964567216037</v>
      </c>
      <c r="D107" s="10">
        <f>B107*נתונים!B14/12</f>
        <v>9047.3858698620807</v>
      </c>
      <c r="E107" s="10">
        <f t="shared" si="3"/>
        <v>5118.5786973539562</v>
      </c>
      <c r="F107" s="10">
        <f t="shared" si="4"/>
        <v>2256727.8887681658</v>
      </c>
    </row>
    <row r="108" spans="1:6" x14ac:dyDescent="0.25">
      <c r="A108" s="4">
        <v>107</v>
      </c>
      <c r="B108" s="10">
        <f t="shared" si="5"/>
        <v>2256727.8887681658</v>
      </c>
      <c r="C108" s="14">
        <f>נתונים!B43</f>
        <v>14165.964567216037</v>
      </c>
      <c r="D108" s="10">
        <f>B108*נתונים!B14/12</f>
        <v>9026.9115550726638</v>
      </c>
      <c r="E108" s="10">
        <f t="shared" si="3"/>
        <v>5139.0530121433731</v>
      </c>
      <c r="F108" s="10">
        <f t="shared" si="4"/>
        <v>2251588.8357560225</v>
      </c>
    </row>
    <row r="109" spans="1:6" x14ac:dyDescent="0.25">
      <c r="A109" s="4">
        <v>108</v>
      </c>
      <c r="B109" s="10">
        <f t="shared" si="5"/>
        <v>2251588.8357560225</v>
      </c>
      <c r="C109" s="14">
        <f>נתונים!B43</f>
        <v>14165.964567216037</v>
      </c>
      <c r="D109" s="10">
        <f>B109*נתונים!B14/12</f>
        <v>9006.35534302409</v>
      </c>
      <c r="E109" s="10">
        <f t="shared" si="3"/>
        <v>5159.6092241919469</v>
      </c>
      <c r="F109" s="10">
        <f t="shared" si="4"/>
        <v>2246429.2265318306</v>
      </c>
    </row>
    <row r="110" spans="1:6" x14ac:dyDescent="0.25">
      <c r="A110" s="4">
        <v>109</v>
      </c>
      <c r="B110" s="10">
        <f t="shared" si="5"/>
        <v>2246429.2265318306</v>
      </c>
      <c r="C110" s="14">
        <f>נתונים!B43</f>
        <v>14165.964567216037</v>
      </c>
      <c r="D110" s="10">
        <f>B110*נתונים!B14/12</f>
        <v>8985.7169061273216</v>
      </c>
      <c r="E110" s="10">
        <f t="shared" si="3"/>
        <v>5180.2476610887152</v>
      </c>
      <c r="F110" s="10">
        <f t="shared" si="4"/>
        <v>2241248.978870742</v>
      </c>
    </row>
    <row r="111" spans="1:6" x14ac:dyDescent="0.25">
      <c r="A111" s="4">
        <v>110</v>
      </c>
      <c r="B111" s="10">
        <f t="shared" si="5"/>
        <v>2241248.978870742</v>
      </c>
      <c r="C111" s="14">
        <f>נתונים!B43</f>
        <v>14165.964567216037</v>
      </c>
      <c r="D111" s="10">
        <f>B111*נתונים!B14/12</f>
        <v>8964.9959154829685</v>
      </c>
      <c r="E111" s="10">
        <f t="shared" si="3"/>
        <v>5200.9686517330683</v>
      </c>
      <c r="F111" s="10">
        <f t="shared" si="4"/>
        <v>2236048.0102190091</v>
      </c>
    </row>
    <row r="112" spans="1:6" x14ac:dyDescent="0.25">
      <c r="A112" s="4">
        <v>111</v>
      </c>
      <c r="B112" s="10">
        <f t="shared" si="5"/>
        <v>2236048.0102190091</v>
      </c>
      <c r="C112" s="14">
        <f>נתונים!B43</f>
        <v>14165.964567216037</v>
      </c>
      <c r="D112" s="10">
        <f>B112*נתונים!B14/12</f>
        <v>8944.1920408760361</v>
      </c>
      <c r="E112" s="10">
        <f t="shared" si="3"/>
        <v>5221.7725263400007</v>
      </c>
      <c r="F112" s="10">
        <f t="shared" si="4"/>
        <v>2230826.237692669</v>
      </c>
    </row>
    <row r="113" spans="1:6" x14ac:dyDescent="0.25">
      <c r="A113" s="4">
        <v>112</v>
      </c>
      <c r="B113" s="10">
        <f t="shared" si="5"/>
        <v>2230826.237692669</v>
      </c>
      <c r="C113" s="14">
        <f>נתונים!B43</f>
        <v>14165.964567216037</v>
      </c>
      <c r="D113" s="10">
        <f>B113*נתונים!B14/12</f>
        <v>8923.3049507706764</v>
      </c>
      <c r="E113" s="10">
        <f t="shared" si="3"/>
        <v>5242.6596164453604</v>
      </c>
      <c r="F113" s="10">
        <f t="shared" si="4"/>
        <v>2225583.5780762238</v>
      </c>
    </row>
    <row r="114" spans="1:6" x14ac:dyDescent="0.25">
      <c r="A114" s="4">
        <v>113</v>
      </c>
      <c r="B114" s="10">
        <f t="shared" si="5"/>
        <v>2225583.5780762238</v>
      </c>
      <c r="C114" s="14">
        <f>נתונים!B43</f>
        <v>14165.964567216037</v>
      </c>
      <c r="D114" s="10">
        <f>B114*נתונים!B14/12</f>
        <v>8902.3343123048962</v>
      </c>
      <c r="E114" s="10">
        <f t="shared" si="3"/>
        <v>5263.6302549111406</v>
      </c>
      <c r="F114" s="10">
        <f t="shared" si="4"/>
        <v>2220319.9478213126</v>
      </c>
    </row>
    <row r="115" spans="1:6" x14ac:dyDescent="0.25">
      <c r="A115" s="4">
        <v>114</v>
      </c>
      <c r="B115" s="10">
        <f t="shared" si="5"/>
        <v>2220319.9478213126</v>
      </c>
      <c r="C115" s="14">
        <f>נתונים!B43</f>
        <v>14165.964567216037</v>
      </c>
      <c r="D115" s="10">
        <f>B115*נתונים!B14/12</f>
        <v>8881.2797912852511</v>
      </c>
      <c r="E115" s="10">
        <f t="shared" si="3"/>
        <v>5284.6847759307857</v>
      </c>
      <c r="F115" s="10">
        <f t="shared" si="4"/>
        <v>2215035.2630453818</v>
      </c>
    </row>
    <row r="116" spans="1:6" x14ac:dyDescent="0.25">
      <c r="A116" s="4">
        <v>115</v>
      </c>
      <c r="B116" s="10">
        <f t="shared" si="5"/>
        <v>2215035.2630453818</v>
      </c>
      <c r="C116" s="14">
        <f>נתונים!B43</f>
        <v>14165.964567216037</v>
      </c>
      <c r="D116" s="10">
        <f>B116*נתונים!B14/12</f>
        <v>8860.1410521815269</v>
      </c>
      <c r="E116" s="10">
        <f t="shared" si="3"/>
        <v>5305.8235150345099</v>
      </c>
      <c r="F116" s="10">
        <f t="shared" si="4"/>
        <v>2209729.4395303475</v>
      </c>
    </row>
    <row r="117" spans="1:6" x14ac:dyDescent="0.25">
      <c r="A117" s="4">
        <v>116</v>
      </c>
      <c r="B117" s="10">
        <f t="shared" si="5"/>
        <v>2209729.4395303475</v>
      </c>
      <c r="C117" s="14">
        <f>נתונים!B43</f>
        <v>14165.964567216037</v>
      </c>
      <c r="D117" s="10">
        <f>B117*נתונים!B14/12</f>
        <v>8838.9177581213899</v>
      </c>
      <c r="E117" s="10">
        <f t="shared" si="3"/>
        <v>5327.046809094647</v>
      </c>
      <c r="F117" s="10">
        <f t="shared" si="4"/>
        <v>2204402.392721253</v>
      </c>
    </row>
    <row r="118" spans="1:6" x14ac:dyDescent="0.25">
      <c r="A118" s="4">
        <v>117</v>
      </c>
      <c r="B118" s="10">
        <f t="shared" si="5"/>
        <v>2204402.392721253</v>
      </c>
      <c r="C118" s="14">
        <f>נתונים!B43</f>
        <v>14165.964567216037</v>
      </c>
      <c r="D118" s="10">
        <f>B118*נתונים!B14/12</f>
        <v>8817.6095708850116</v>
      </c>
      <c r="E118" s="10">
        <f t="shared" si="3"/>
        <v>5348.3549963310252</v>
      </c>
      <c r="F118" s="10">
        <f t="shared" si="4"/>
        <v>2199054.0377249219</v>
      </c>
    </row>
    <row r="119" spans="1:6" x14ac:dyDescent="0.25">
      <c r="A119" s="4">
        <v>118</v>
      </c>
      <c r="B119" s="10">
        <f t="shared" si="5"/>
        <v>2199054.0377249219</v>
      </c>
      <c r="C119" s="14">
        <f>נתונים!B43</f>
        <v>14165.964567216037</v>
      </c>
      <c r="D119" s="10">
        <f>B119*נתונים!B14/12</f>
        <v>8796.2161508996887</v>
      </c>
      <c r="E119" s="10">
        <f t="shared" si="3"/>
        <v>5369.7484163163481</v>
      </c>
      <c r="F119" s="10">
        <f t="shared" si="4"/>
        <v>2193684.2893086057</v>
      </c>
    </row>
    <row r="120" spans="1:6" x14ac:dyDescent="0.25">
      <c r="A120" s="4">
        <v>119</v>
      </c>
      <c r="B120" s="10">
        <f t="shared" si="5"/>
        <v>2193684.2893086057</v>
      </c>
      <c r="C120" s="14">
        <f>נתונים!B43</f>
        <v>14165.964567216037</v>
      </c>
      <c r="D120" s="10">
        <f>B120*נתונים!B14/12</f>
        <v>8774.7371572344236</v>
      </c>
      <c r="E120" s="10">
        <f t="shared" si="3"/>
        <v>5391.2274099816132</v>
      </c>
      <c r="F120" s="10">
        <f t="shared" si="4"/>
        <v>2188293.0618986241</v>
      </c>
    </row>
    <row r="121" spans="1:6" x14ac:dyDescent="0.25">
      <c r="A121" s="4">
        <v>120</v>
      </c>
      <c r="B121" s="10">
        <f t="shared" si="5"/>
        <v>2188293.0618986241</v>
      </c>
      <c r="C121" s="14">
        <f>נתונים!B43</f>
        <v>14165.964567216037</v>
      </c>
      <c r="D121" s="10">
        <f>B121*נתונים!B14/12</f>
        <v>8753.1722475944971</v>
      </c>
      <c r="E121" s="10">
        <f t="shared" si="3"/>
        <v>5412.7923196215397</v>
      </c>
      <c r="F121" s="10">
        <f t="shared" si="4"/>
        <v>2182880.2695790026</v>
      </c>
    </row>
    <row r="122" spans="1:6" x14ac:dyDescent="0.25">
      <c r="A122" s="4">
        <v>121</v>
      </c>
      <c r="B122" s="10">
        <f t="shared" si="5"/>
        <v>2182880.2695790026</v>
      </c>
      <c r="C122" s="14">
        <f>נתונים!B43</f>
        <v>14165.964567216037</v>
      </c>
      <c r="D122" s="10">
        <f>B122*נתונים!B14/12</f>
        <v>8731.521078316011</v>
      </c>
      <c r="E122" s="10">
        <f t="shared" si="3"/>
        <v>5434.4434889000258</v>
      </c>
      <c r="F122" s="10">
        <f t="shared" si="4"/>
        <v>2177445.8260901025</v>
      </c>
    </row>
    <row r="123" spans="1:6" x14ac:dyDescent="0.25">
      <c r="A123" s="4">
        <v>122</v>
      </c>
      <c r="B123" s="10">
        <f t="shared" si="5"/>
        <v>2177445.8260901025</v>
      </c>
      <c r="C123" s="14">
        <f>נתונים!B43</f>
        <v>14165.964567216037</v>
      </c>
      <c r="D123" s="10">
        <f>B123*נתונים!B14/12</f>
        <v>8709.7833043604096</v>
      </c>
      <c r="E123" s="10">
        <f t="shared" si="3"/>
        <v>5456.1812628556272</v>
      </c>
      <c r="F123" s="10">
        <f t="shared" si="4"/>
        <v>2171989.6448272471</v>
      </c>
    </row>
    <row r="124" spans="1:6" x14ac:dyDescent="0.25">
      <c r="A124" s="4">
        <v>123</v>
      </c>
      <c r="B124" s="10">
        <f t="shared" si="5"/>
        <v>2171989.6448272471</v>
      </c>
      <c r="C124" s="14">
        <f>נתונים!B43</f>
        <v>14165.964567216037</v>
      </c>
      <c r="D124" s="10">
        <f>B124*נתונים!B14/12</f>
        <v>8687.9585793089882</v>
      </c>
      <c r="E124" s="10">
        <f t="shared" si="3"/>
        <v>5478.0059879070486</v>
      </c>
      <c r="F124" s="10">
        <f t="shared" si="4"/>
        <v>2166511.6388393403</v>
      </c>
    </row>
    <row r="125" spans="1:6" x14ac:dyDescent="0.25">
      <c r="A125" s="4">
        <v>124</v>
      </c>
      <c r="B125" s="10">
        <f t="shared" si="5"/>
        <v>2166511.6388393403</v>
      </c>
      <c r="C125" s="14">
        <f>נתונים!B43</f>
        <v>14165.964567216037</v>
      </c>
      <c r="D125" s="10">
        <f>B125*נתונים!B14/12</f>
        <v>8666.0465553573613</v>
      </c>
      <c r="E125" s="10">
        <f t="shared" si="3"/>
        <v>5499.9180118586755</v>
      </c>
      <c r="F125" s="10">
        <f t="shared" si="4"/>
        <v>2161011.7208274817</v>
      </c>
    </row>
    <row r="126" spans="1:6" x14ac:dyDescent="0.25">
      <c r="A126" s="4">
        <v>125</v>
      </c>
      <c r="B126" s="10">
        <f t="shared" si="5"/>
        <v>2161011.7208274817</v>
      </c>
      <c r="C126" s="14">
        <f>נתונים!B43</f>
        <v>14165.964567216037</v>
      </c>
      <c r="D126" s="10">
        <f>B126*נתונים!B14/12</f>
        <v>8644.0468833099276</v>
      </c>
      <c r="E126" s="10">
        <f t="shared" si="3"/>
        <v>5521.9176839061092</v>
      </c>
      <c r="F126" s="10">
        <f t="shared" si="4"/>
        <v>2155489.8031435758</v>
      </c>
    </row>
    <row r="127" spans="1:6" x14ac:dyDescent="0.25">
      <c r="A127" s="4">
        <v>126</v>
      </c>
      <c r="B127" s="10">
        <f t="shared" si="5"/>
        <v>2155489.8031435758</v>
      </c>
      <c r="C127" s="14">
        <f>נתונים!B43</f>
        <v>14165.964567216037</v>
      </c>
      <c r="D127" s="10">
        <f>B127*נתונים!B14/12</f>
        <v>8621.9592125743038</v>
      </c>
      <c r="E127" s="10">
        <f t="shared" si="3"/>
        <v>5544.005354641733</v>
      </c>
      <c r="F127" s="10">
        <f t="shared" si="4"/>
        <v>2149945.7977889339</v>
      </c>
    </row>
    <row r="128" spans="1:6" x14ac:dyDescent="0.25">
      <c r="A128" s="4">
        <v>127</v>
      </c>
      <c r="B128" s="10">
        <f t="shared" si="5"/>
        <v>2149945.7977889339</v>
      </c>
      <c r="C128" s="14">
        <f>נתונים!B43</f>
        <v>14165.964567216037</v>
      </c>
      <c r="D128" s="10">
        <f>B128*נתונים!B14/12</f>
        <v>8599.783191155735</v>
      </c>
      <c r="E128" s="10">
        <f t="shared" si="3"/>
        <v>5566.1813760603018</v>
      </c>
      <c r="F128" s="10">
        <f t="shared" si="4"/>
        <v>2144379.6164128734</v>
      </c>
    </row>
    <row r="129" spans="1:6" x14ac:dyDescent="0.25">
      <c r="A129" s="4">
        <v>128</v>
      </c>
      <c r="B129" s="10">
        <f t="shared" si="5"/>
        <v>2144379.6164128734</v>
      </c>
      <c r="C129" s="14">
        <f>נתונים!B43</f>
        <v>14165.964567216037</v>
      </c>
      <c r="D129" s="10">
        <f>B129*נתונים!B14/12</f>
        <v>8577.5184656514939</v>
      </c>
      <c r="E129" s="10">
        <f t="shared" si="3"/>
        <v>5588.4461015645429</v>
      </c>
      <c r="F129" s="10">
        <f t="shared" si="4"/>
        <v>2138791.1703113089</v>
      </c>
    </row>
    <row r="130" spans="1:6" x14ac:dyDescent="0.25">
      <c r="A130" s="4">
        <v>129</v>
      </c>
      <c r="B130" s="10">
        <f t="shared" si="5"/>
        <v>2138791.1703113089</v>
      </c>
      <c r="C130" s="14">
        <f>נתונים!B43</f>
        <v>14165.964567216037</v>
      </c>
      <c r="D130" s="10">
        <f>B130*נתונים!B14/12</f>
        <v>8555.1646812452364</v>
      </c>
      <c r="E130" s="10">
        <f t="shared" ref="E130:E193" si="6">C130-D130</f>
        <v>5610.7998859708005</v>
      </c>
      <c r="F130" s="10">
        <f t="shared" ref="F130:F193" si="7">B130-E130</f>
        <v>2133180.3704253379</v>
      </c>
    </row>
    <row r="131" spans="1:6" x14ac:dyDescent="0.25">
      <c r="A131" s="4">
        <v>130</v>
      </c>
      <c r="B131" s="10">
        <f t="shared" ref="B131:B194" si="8">F130</f>
        <v>2133180.3704253379</v>
      </c>
      <c r="C131" s="14">
        <f>נתונים!B43</f>
        <v>14165.964567216037</v>
      </c>
      <c r="D131" s="10">
        <f>B131*נתונים!B14/12</f>
        <v>8532.7214817013519</v>
      </c>
      <c r="E131" s="10">
        <f t="shared" si="6"/>
        <v>5633.2430855146849</v>
      </c>
      <c r="F131" s="10">
        <f t="shared" si="7"/>
        <v>2127547.1273398232</v>
      </c>
    </row>
    <row r="132" spans="1:6" x14ac:dyDescent="0.25">
      <c r="A132" s="4">
        <v>131</v>
      </c>
      <c r="B132" s="10">
        <f t="shared" si="8"/>
        <v>2127547.1273398232</v>
      </c>
      <c r="C132" s="14">
        <f>נתונים!B43</f>
        <v>14165.964567216037</v>
      </c>
      <c r="D132" s="10">
        <f>B132*נתונים!B14/12</f>
        <v>8510.1885093592919</v>
      </c>
      <c r="E132" s="10">
        <f t="shared" si="6"/>
        <v>5655.776057856745</v>
      </c>
      <c r="F132" s="10">
        <f t="shared" si="7"/>
        <v>2121891.3512819665</v>
      </c>
    </row>
    <row r="133" spans="1:6" x14ac:dyDescent="0.25">
      <c r="A133" s="4">
        <v>132</v>
      </c>
      <c r="B133" s="10">
        <f t="shared" si="8"/>
        <v>2121891.3512819665</v>
      </c>
      <c r="C133" s="14">
        <f>נתונים!B43</f>
        <v>14165.964567216037</v>
      </c>
      <c r="D133" s="10">
        <f>B133*נתונים!B14/12</f>
        <v>8487.5654051278671</v>
      </c>
      <c r="E133" s="10">
        <f t="shared" si="6"/>
        <v>5678.3991620881698</v>
      </c>
      <c r="F133" s="10">
        <f t="shared" si="7"/>
        <v>2116212.9521198785</v>
      </c>
    </row>
    <row r="134" spans="1:6" x14ac:dyDescent="0.25">
      <c r="A134" s="4">
        <v>133</v>
      </c>
      <c r="B134" s="10">
        <f t="shared" si="8"/>
        <v>2116212.9521198785</v>
      </c>
      <c r="C134" s="14">
        <f>נתונים!B43</f>
        <v>14165.964567216037</v>
      </c>
      <c r="D134" s="10">
        <f>B134*נתונים!B14/12</f>
        <v>8464.8518084795141</v>
      </c>
      <c r="E134" s="10">
        <f t="shared" si="6"/>
        <v>5701.1127587365227</v>
      </c>
      <c r="F134" s="10">
        <f t="shared" si="7"/>
        <v>2110511.8393611419</v>
      </c>
    </row>
    <row r="135" spans="1:6" x14ac:dyDescent="0.25">
      <c r="A135" s="4">
        <v>134</v>
      </c>
      <c r="B135" s="10">
        <f t="shared" si="8"/>
        <v>2110511.8393611419</v>
      </c>
      <c r="C135" s="14">
        <f>נתונים!B43</f>
        <v>14165.964567216037</v>
      </c>
      <c r="D135" s="10">
        <f>B135*נתונים!B14/12</f>
        <v>8442.0473574445678</v>
      </c>
      <c r="E135" s="10">
        <f t="shared" si="6"/>
        <v>5723.9172097714691</v>
      </c>
      <c r="F135" s="10">
        <f t="shared" si="7"/>
        <v>2104787.9221513704</v>
      </c>
    </row>
    <row r="136" spans="1:6" x14ac:dyDescent="0.25">
      <c r="A136" s="4">
        <v>135</v>
      </c>
      <c r="B136" s="10">
        <f t="shared" si="8"/>
        <v>2104787.9221513704</v>
      </c>
      <c r="C136" s="14">
        <f>נתונים!B43</f>
        <v>14165.964567216037</v>
      </c>
      <c r="D136" s="10">
        <f>B136*נתונים!B14/12</f>
        <v>8419.1516886054815</v>
      </c>
      <c r="E136" s="10">
        <f t="shared" si="6"/>
        <v>5746.8128786105553</v>
      </c>
      <c r="F136" s="10">
        <f t="shared" si="7"/>
        <v>2099041.1092727599</v>
      </c>
    </row>
    <row r="137" spans="1:6" x14ac:dyDescent="0.25">
      <c r="A137" s="4">
        <v>136</v>
      </c>
      <c r="B137" s="10">
        <f t="shared" si="8"/>
        <v>2099041.1092727599</v>
      </c>
      <c r="C137" s="14">
        <f>נתונים!B43</f>
        <v>14165.964567216037</v>
      </c>
      <c r="D137" s="10">
        <f>B137*נתונים!B14/12</f>
        <v>8396.1644370910399</v>
      </c>
      <c r="E137" s="10">
        <f t="shared" si="6"/>
        <v>5769.8001301249969</v>
      </c>
      <c r="F137" s="10">
        <f t="shared" si="7"/>
        <v>2093271.309142635</v>
      </c>
    </row>
    <row r="138" spans="1:6" x14ac:dyDescent="0.25">
      <c r="A138" s="4">
        <v>137</v>
      </c>
      <c r="B138" s="10">
        <f t="shared" si="8"/>
        <v>2093271.309142635</v>
      </c>
      <c r="C138" s="14">
        <f>נתונים!B43</f>
        <v>14165.964567216037</v>
      </c>
      <c r="D138" s="10">
        <f>B138*נתונים!B14/12</f>
        <v>8373.0852365705396</v>
      </c>
      <c r="E138" s="10">
        <f t="shared" si="6"/>
        <v>5792.8793306454972</v>
      </c>
      <c r="F138" s="10">
        <f t="shared" si="7"/>
        <v>2087478.4298119894</v>
      </c>
    </row>
    <row r="139" spans="1:6" x14ac:dyDescent="0.25">
      <c r="A139" s="4">
        <v>138</v>
      </c>
      <c r="B139" s="10">
        <f t="shared" si="8"/>
        <v>2087478.4298119894</v>
      </c>
      <c r="C139" s="14">
        <f>נתונים!B43</f>
        <v>14165.964567216037</v>
      </c>
      <c r="D139" s="10">
        <f>B139*נתונים!B14/12</f>
        <v>8349.9137192479575</v>
      </c>
      <c r="E139" s="10">
        <f t="shared" si="6"/>
        <v>5816.0508479680793</v>
      </c>
      <c r="F139" s="10">
        <f t="shared" si="7"/>
        <v>2081662.3789640213</v>
      </c>
    </row>
    <row r="140" spans="1:6" x14ac:dyDescent="0.25">
      <c r="A140" s="4">
        <v>139</v>
      </c>
      <c r="B140" s="10">
        <f t="shared" si="8"/>
        <v>2081662.3789640213</v>
      </c>
      <c r="C140" s="14">
        <f>נתונים!B43</f>
        <v>14165.964567216037</v>
      </c>
      <c r="D140" s="10">
        <f>B140*נתונים!B14/12</f>
        <v>8326.6495158560847</v>
      </c>
      <c r="E140" s="10">
        <f t="shared" si="6"/>
        <v>5839.3150513599521</v>
      </c>
      <c r="F140" s="10">
        <f t="shared" si="7"/>
        <v>2075823.0639126613</v>
      </c>
    </row>
    <row r="141" spans="1:6" x14ac:dyDescent="0.25">
      <c r="A141" s="4">
        <v>140</v>
      </c>
      <c r="B141" s="10">
        <f t="shared" si="8"/>
        <v>2075823.0639126613</v>
      </c>
      <c r="C141" s="14">
        <f>נתונים!B43</f>
        <v>14165.964567216037</v>
      </c>
      <c r="D141" s="10">
        <f>B141*נתונים!B14/12</f>
        <v>8303.2922556506455</v>
      </c>
      <c r="E141" s="10">
        <f t="shared" si="6"/>
        <v>5862.6723115653913</v>
      </c>
      <c r="F141" s="10">
        <f t="shared" si="7"/>
        <v>2069960.3916010959</v>
      </c>
    </row>
    <row r="142" spans="1:6" x14ac:dyDescent="0.25">
      <c r="A142" s="4">
        <v>141</v>
      </c>
      <c r="B142" s="10">
        <f t="shared" si="8"/>
        <v>2069960.3916010959</v>
      </c>
      <c r="C142" s="14">
        <f>נתונים!B43</f>
        <v>14165.964567216037</v>
      </c>
      <c r="D142" s="10">
        <f>B142*נתונים!B14/12</f>
        <v>8279.8415664043841</v>
      </c>
      <c r="E142" s="10">
        <f t="shared" si="6"/>
        <v>5886.1230008116527</v>
      </c>
      <c r="F142" s="10">
        <f t="shared" si="7"/>
        <v>2064074.2686002844</v>
      </c>
    </row>
    <row r="143" spans="1:6" x14ac:dyDescent="0.25">
      <c r="A143" s="4">
        <v>142</v>
      </c>
      <c r="B143" s="10">
        <f t="shared" si="8"/>
        <v>2064074.2686002844</v>
      </c>
      <c r="C143" s="14">
        <f>נתונים!B43</f>
        <v>14165.964567216037</v>
      </c>
      <c r="D143" s="10">
        <f>B143*נתונים!B14/12</f>
        <v>8256.2970744011382</v>
      </c>
      <c r="E143" s="10">
        <f t="shared" si="6"/>
        <v>5909.6674928148987</v>
      </c>
      <c r="F143" s="10">
        <f t="shared" si="7"/>
        <v>2058164.6011074695</v>
      </c>
    </row>
    <row r="144" spans="1:6" x14ac:dyDescent="0.25">
      <c r="A144" s="4">
        <v>143</v>
      </c>
      <c r="B144" s="10">
        <f t="shared" si="8"/>
        <v>2058164.6011074695</v>
      </c>
      <c r="C144" s="14">
        <f>נתונים!B43</f>
        <v>14165.964567216037</v>
      </c>
      <c r="D144" s="10">
        <f>B144*נתונים!B14/12</f>
        <v>8232.6584044298779</v>
      </c>
      <c r="E144" s="10">
        <f t="shared" si="6"/>
        <v>5933.3061627861589</v>
      </c>
      <c r="F144" s="10">
        <f t="shared" si="7"/>
        <v>2052231.2949446833</v>
      </c>
    </row>
    <row r="145" spans="1:6" x14ac:dyDescent="0.25">
      <c r="A145" s="4">
        <v>144</v>
      </c>
      <c r="B145" s="10">
        <f t="shared" si="8"/>
        <v>2052231.2949446833</v>
      </c>
      <c r="C145" s="14">
        <f>נתונים!B43</f>
        <v>14165.964567216037</v>
      </c>
      <c r="D145" s="10">
        <f>B145*נתונים!B14/12</f>
        <v>8208.9251797787347</v>
      </c>
      <c r="E145" s="10">
        <f t="shared" si="6"/>
        <v>5957.0393874373021</v>
      </c>
      <c r="F145" s="10">
        <f t="shared" si="7"/>
        <v>2046274.255557246</v>
      </c>
    </row>
    <row r="146" spans="1:6" x14ac:dyDescent="0.25">
      <c r="A146" s="4">
        <v>145</v>
      </c>
      <c r="B146" s="10">
        <f t="shared" si="8"/>
        <v>2046274.255557246</v>
      </c>
      <c r="C146" s="14">
        <f>נתונים!B43</f>
        <v>14165.964567216037</v>
      </c>
      <c r="D146" s="10">
        <f>B146*נתונים!B14/12</f>
        <v>8185.0970222289843</v>
      </c>
      <c r="E146" s="10">
        <f t="shared" si="6"/>
        <v>5980.8675449870525</v>
      </c>
      <c r="F146" s="10">
        <f t="shared" si="7"/>
        <v>2040293.388012259</v>
      </c>
    </row>
    <row r="147" spans="1:6" x14ac:dyDescent="0.25">
      <c r="A147" s="4">
        <v>146</v>
      </c>
      <c r="B147" s="10">
        <f t="shared" si="8"/>
        <v>2040293.388012259</v>
      </c>
      <c r="C147" s="14">
        <f>נתונים!B43</f>
        <v>14165.964567216037</v>
      </c>
      <c r="D147" s="10">
        <f>B147*נתונים!B14/12</f>
        <v>8161.1735520490365</v>
      </c>
      <c r="E147" s="10">
        <f t="shared" si="6"/>
        <v>6004.7910151670003</v>
      </c>
      <c r="F147" s="10">
        <f t="shared" si="7"/>
        <v>2034288.596997092</v>
      </c>
    </row>
    <row r="148" spans="1:6" x14ac:dyDescent="0.25">
      <c r="A148" s="4">
        <v>147</v>
      </c>
      <c r="B148" s="10">
        <f t="shared" si="8"/>
        <v>2034288.596997092</v>
      </c>
      <c r="C148" s="14">
        <f>נתונים!B43</f>
        <v>14165.964567216037</v>
      </c>
      <c r="D148" s="10">
        <f>B148*נתונים!B14/12</f>
        <v>8137.1543879883684</v>
      </c>
      <c r="E148" s="10">
        <f t="shared" si="6"/>
        <v>6028.8101792276684</v>
      </c>
      <c r="F148" s="10">
        <f t="shared" si="7"/>
        <v>2028259.7868178643</v>
      </c>
    </row>
    <row r="149" spans="1:6" x14ac:dyDescent="0.25">
      <c r="A149" s="4">
        <v>148</v>
      </c>
      <c r="B149" s="10">
        <f t="shared" si="8"/>
        <v>2028259.7868178643</v>
      </c>
      <c r="C149" s="14">
        <f>נתונים!B43</f>
        <v>14165.964567216037</v>
      </c>
      <c r="D149" s="10">
        <f>B149*נתונים!B14/12</f>
        <v>8113.0391472714573</v>
      </c>
      <c r="E149" s="10">
        <f t="shared" si="6"/>
        <v>6052.9254199445795</v>
      </c>
      <c r="F149" s="10">
        <f t="shared" si="7"/>
        <v>2022206.8613979197</v>
      </c>
    </row>
    <row r="150" spans="1:6" x14ac:dyDescent="0.25">
      <c r="A150" s="4">
        <v>149</v>
      </c>
      <c r="B150" s="10">
        <f t="shared" si="8"/>
        <v>2022206.8613979197</v>
      </c>
      <c r="C150" s="14">
        <f>נתונים!B43</f>
        <v>14165.964567216037</v>
      </c>
      <c r="D150" s="10">
        <f>B150*נתונים!B14/12</f>
        <v>8088.827445591679</v>
      </c>
      <c r="E150" s="10">
        <f t="shared" si="6"/>
        <v>6077.1371216243579</v>
      </c>
      <c r="F150" s="10">
        <f t="shared" si="7"/>
        <v>2016129.7242762954</v>
      </c>
    </row>
    <row r="151" spans="1:6" x14ac:dyDescent="0.25">
      <c r="A151" s="4">
        <v>150</v>
      </c>
      <c r="B151" s="10">
        <f t="shared" si="8"/>
        <v>2016129.7242762954</v>
      </c>
      <c r="C151" s="14">
        <f>נתונים!B43</f>
        <v>14165.964567216037</v>
      </c>
      <c r="D151" s="10">
        <f>B151*נתונים!B14/12</f>
        <v>8064.5188971051821</v>
      </c>
      <c r="E151" s="10">
        <f t="shared" si="6"/>
        <v>6101.4456701108547</v>
      </c>
      <c r="F151" s="10">
        <f t="shared" si="7"/>
        <v>2010028.2786061845</v>
      </c>
    </row>
    <row r="152" spans="1:6" x14ac:dyDescent="0.25">
      <c r="A152" s="4">
        <v>151</v>
      </c>
      <c r="B152" s="10">
        <f t="shared" si="8"/>
        <v>2010028.2786061845</v>
      </c>
      <c r="C152" s="14">
        <f>נתונים!B43</f>
        <v>14165.964567216037</v>
      </c>
      <c r="D152" s="10">
        <f>B152*נתונים!B14/12</f>
        <v>8040.1131144247383</v>
      </c>
      <c r="E152" s="10">
        <f t="shared" si="6"/>
        <v>6125.8514527912985</v>
      </c>
      <c r="F152" s="10">
        <f t="shared" si="7"/>
        <v>2003902.4271533932</v>
      </c>
    </row>
    <row r="153" spans="1:6" x14ac:dyDescent="0.25">
      <c r="A153" s="4">
        <v>152</v>
      </c>
      <c r="B153" s="10">
        <f t="shared" si="8"/>
        <v>2003902.4271533932</v>
      </c>
      <c r="C153" s="14">
        <f>נתונים!B43</f>
        <v>14165.964567216037</v>
      </c>
      <c r="D153" s="10">
        <f>B153*נתונים!B14/12</f>
        <v>8015.6097086135733</v>
      </c>
      <c r="E153" s="10">
        <f t="shared" si="6"/>
        <v>6150.3548586024635</v>
      </c>
      <c r="F153" s="10">
        <f t="shared" si="7"/>
        <v>1997752.0722947908</v>
      </c>
    </row>
    <row r="154" spans="1:6" x14ac:dyDescent="0.25">
      <c r="A154" s="4">
        <v>153</v>
      </c>
      <c r="B154" s="10">
        <f t="shared" si="8"/>
        <v>1997752.0722947908</v>
      </c>
      <c r="C154" s="14">
        <f>נתונים!B43</f>
        <v>14165.964567216037</v>
      </c>
      <c r="D154" s="10">
        <f>B154*נתונים!B14/12</f>
        <v>7991.0082891791635</v>
      </c>
      <c r="E154" s="10">
        <f t="shared" si="6"/>
        <v>6174.9562780368733</v>
      </c>
      <c r="F154" s="10">
        <f t="shared" si="7"/>
        <v>1991577.1160167539</v>
      </c>
    </row>
    <row r="155" spans="1:6" x14ac:dyDescent="0.25">
      <c r="A155" s="4">
        <v>154</v>
      </c>
      <c r="B155" s="10">
        <f t="shared" si="8"/>
        <v>1991577.1160167539</v>
      </c>
      <c r="C155" s="14">
        <f>נתונים!B43</f>
        <v>14165.964567216037</v>
      </c>
      <c r="D155" s="10">
        <f>B155*נתונים!B14/12</f>
        <v>7966.3084640670158</v>
      </c>
      <c r="E155" s="10">
        <f t="shared" si="6"/>
        <v>6199.656103149021</v>
      </c>
      <c r="F155" s="10">
        <f t="shared" si="7"/>
        <v>1985377.4599136049</v>
      </c>
    </row>
    <row r="156" spans="1:6" x14ac:dyDescent="0.25">
      <c r="A156" s="4">
        <v>155</v>
      </c>
      <c r="B156" s="10">
        <f t="shared" si="8"/>
        <v>1985377.4599136049</v>
      </c>
      <c r="C156" s="14">
        <f>נתונים!B43</f>
        <v>14165.964567216037</v>
      </c>
      <c r="D156" s="10">
        <f>B156*נתונים!B14/12</f>
        <v>7941.5098396544199</v>
      </c>
      <c r="E156" s="10">
        <f t="shared" si="6"/>
        <v>6224.4547275616169</v>
      </c>
      <c r="F156" s="10">
        <f t="shared" si="7"/>
        <v>1979153.0051860432</v>
      </c>
    </row>
    <row r="157" spans="1:6" x14ac:dyDescent="0.25">
      <c r="A157" s="4">
        <v>156</v>
      </c>
      <c r="B157" s="10">
        <f t="shared" si="8"/>
        <v>1979153.0051860432</v>
      </c>
      <c r="C157" s="14">
        <f>נתונים!B43</f>
        <v>14165.964567216037</v>
      </c>
      <c r="D157" s="10">
        <f>B157*נתונים!B14/12</f>
        <v>7916.6120207441736</v>
      </c>
      <c r="E157" s="10">
        <f t="shared" si="6"/>
        <v>6249.3525464718632</v>
      </c>
      <c r="F157" s="10">
        <f t="shared" si="7"/>
        <v>1972903.6526395713</v>
      </c>
    </row>
    <row r="158" spans="1:6" x14ac:dyDescent="0.25">
      <c r="A158" s="4">
        <v>157</v>
      </c>
      <c r="B158" s="10">
        <f t="shared" si="8"/>
        <v>1972903.6526395713</v>
      </c>
      <c r="C158" s="14">
        <f>נתונים!B43</f>
        <v>14165.964567216037</v>
      </c>
      <c r="D158" s="10">
        <f>B158*נתונים!B14/12</f>
        <v>7891.6146105582857</v>
      </c>
      <c r="E158" s="10">
        <f t="shared" si="6"/>
        <v>6274.3499566577511</v>
      </c>
      <c r="F158" s="10">
        <f t="shared" si="7"/>
        <v>1966629.3026829136</v>
      </c>
    </row>
    <row r="159" spans="1:6" x14ac:dyDescent="0.25">
      <c r="A159" s="4">
        <v>158</v>
      </c>
      <c r="B159" s="10">
        <f t="shared" si="8"/>
        <v>1966629.3026829136</v>
      </c>
      <c r="C159" s="14">
        <f>נתונים!B43</f>
        <v>14165.964567216037</v>
      </c>
      <c r="D159" s="10">
        <f>B159*נתונים!B14/12</f>
        <v>7866.5172107316548</v>
      </c>
      <c r="E159" s="10">
        <f t="shared" si="6"/>
        <v>6299.447356484382</v>
      </c>
      <c r="F159" s="10">
        <f t="shared" si="7"/>
        <v>1960329.8553264292</v>
      </c>
    </row>
    <row r="160" spans="1:6" x14ac:dyDescent="0.25">
      <c r="A160" s="4">
        <v>159</v>
      </c>
      <c r="B160" s="10">
        <f t="shared" si="8"/>
        <v>1960329.8553264292</v>
      </c>
      <c r="C160" s="14">
        <f>נתונים!B43</f>
        <v>14165.964567216037</v>
      </c>
      <c r="D160" s="10">
        <f>B160*נתונים!B14/12</f>
        <v>7841.3194213057177</v>
      </c>
      <c r="E160" s="10">
        <f t="shared" si="6"/>
        <v>6324.6451459103191</v>
      </c>
      <c r="F160" s="10">
        <f t="shared" si="7"/>
        <v>1954005.2101805189</v>
      </c>
    </row>
    <row r="161" spans="1:6" x14ac:dyDescent="0.25">
      <c r="A161" s="4">
        <v>160</v>
      </c>
      <c r="B161" s="10">
        <f t="shared" si="8"/>
        <v>1954005.2101805189</v>
      </c>
      <c r="C161" s="14">
        <f>נתונים!B43</f>
        <v>14165.964567216037</v>
      </c>
      <c r="D161" s="10">
        <f>B161*נתונים!B14/12</f>
        <v>7816.0208407220753</v>
      </c>
      <c r="E161" s="10">
        <f t="shared" si="6"/>
        <v>6349.9437264939615</v>
      </c>
      <c r="F161" s="10">
        <f t="shared" si="7"/>
        <v>1947655.2664540249</v>
      </c>
    </row>
    <row r="162" spans="1:6" x14ac:dyDescent="0.25">
      <c r="A162" s="4">
        <v>161</v>
      </c>
      <c r="B162" s="10">
        <f t="shared" si="8"/>
        <v>1947655.2664540249</v>
      </c>
      <c r="C162" s="14">
        <f>נתונים!B43</f>
        <v>14165.964567216037</v>
      </c>
      <c r="D162" s="10">
        <f>B162*נתונים!B14/12</f>
        <v>7790.6210658160999</v>
      </c>
      <c r="E162" s="10">
        <f t="shared" si="6"/>
        <v>6375.3435013999369</v>
      </c>
      <c r="F162" s="10">
        <f t="shared" si="7"/>
        <v>1941279.922952625</v>
      </c>
    </row>
    <row r="163" spans="1:6" x14ac:dyDescent="0.25">
      <c r="A163" s="4">
        <v>162</v>
      </c>
      <c r="B163" s="10">
        <f t="shared" si="8"/>
        <v>1941279.922952625</v>
      </c>
      <c r="C163" s="14">
        <f>נתונים!B43</f>
        <v>14165.964567216037</v>
      </c>
      <c r="D163" s="10">
        <f>B163*נתונים!B14/12</f>
        <v>7765.1196918105006</v>
      </c>
      <c r="E163" s="10">
        <f t="shared" si="6"/>
        <v>6400.8448754055362</v>
      </c>
      <c r="F163" s="10">
        <f t="shared" si="7"/>
        <v>1934879.0780772194</v>
      </c>
    </row>
    <row r="164" spans="1:6" x14ac:dyDescent="0.25">
      <c r="A164" s="4">
        <v>163</v>
      </c>
      <c r="B164" s="10">
        <f t="shared" si="8"/>
        <v>1934879.0780772194</v>
      </c>
      <c r="C164" s="14">
        <f>נתונים!B43</f>
        <v>14165.964567216037</v>
      </c>
      <c r="D164" s="10">
        <f>B164*נתונים!B14/12</f>
        <v>7739.5163123088778</v>
      </c>
      <c r="E164" s="10">
        <f t="shared" si="6"/>
        <v>6426.448254907159</v>
      </c>
      <c r="F164" s="10">
        <f t="shared" si="7"/>
        <v>1928452.6298223122</v>
      </c>
    </row>
    <row r="165" spans="1:6" x14ac:dyDescent="0.25">
      <c r="A165" s="4">
        <v>164</v>
      </c>
      <c r="B165" s="10">
        <f t="shared" si="8"/>
        <v>1928452.6298223122</v>
      </c>
      <c r="C165" s="14">
        <f>נתונים!B43</f>
        <v>14165.964567216037</v>
      </c>
      <c r="D165" s="10">
        <f>B165*נתונים!B14/12</f>
        <v>7713.8105192892481</v>
      </c>
      <c r="E165" s="10">
        <f t="shared" si="6"/>
        <v>6452.1540479267887</v>
      </c>
      <c r="F165" s="10">
        <f t="shared" si="7"/>
        <v>1922000.4757743853</v>
      </c>
    </row>
    <row r="166" spans="1:6" x14ac:dyDescent="0.25">
      <c r="A166" s="4">
        <v>165</v>
      </c>
      <c r="B166" s="10">
        <f t="shared" si="8"/>
        <v>1922000.4757743853</v>
      </c>
      <c r="C166" s="14">
        <f>נתונים!B43</f>
        <v>14165.964567216037</v>
      </c>
      <c r="D166" s="10">
        <f>B166*נתונים!B14/12</f>
        <v>7688.0019030975418</v>
      </c>
      <c r="E166" s="10">
        <f t="shared" si="6"/>
        <v>6477.962664118495</v>
      </c>
      <c r="F166" s="10">
        <f t="shared" si="7"/>
        <v>1915522.5131102668</v>
      </c>
    </row>
    <row r="167" spans="1:6" x14ac:dyDescent="0.25">
      <c r="A167" s="4">
        <v>166</v>
      </c>
      <c r="B167" s="10">
        <f t="shared" si="8"/>
        <v>1915522.5131102668</v>
      </c>
      <c r="C167" s="14">
        <f>נתונים!B43</f>
        <v>14165.964567216037</v>
      </c>
      <c r="D167" s="10">
        <f>B167*נתונים!B14/12</f>
        <v>7662.0900524410672</v>
      </c>
      <c r="E167" s="10">
        <f t="shared" si="6"/>
        <v>6503.8745147749696</v>
      </c>
      <c r="F167" s="10">
        <f t="shared" si="7"/>
        <v>1909018.6385954919</v>
      </c>
    </row>
    <row r="168" spans="1:6" x14ac:dyDescent="0.25">
      <c r="A168" s="4">
        <v>167</v>
      </c>
      <c r="B168" s="10">
        <f t="shared" si="8"/>
        <v>1909018.6385954919</v>
      </c>
      <c r="C168" s="14">
        <f>נתונים!B43</f>
        <v>14165.964567216037</v>
      </c>
      <c r="D168" s="10">
        <f>B168*נתונים!B14/12</f>
        <v>7636.0745543819676</v>
      </c>
      <c r="E168" s="10">
        <f t="shared" si="6"/>
        <v>6529.8900128340692</v>
      </c>
      <c r="F168" s="10">
        <f t="shared" si="7"/>
        <v>1902488.7485826579</v>
      </c>
    </row>
    <row r="169" spans="1:6" x14ac:dyDescent="0.25">
      <c r="A169" s="4">
        <v>168</v>
      </c>
      <c r="B169" s="10">
        <f t="shared" si="8"/>
        <v>1902488.7485826579</v>
      </c>
      <c r="C169" s="14">
        <f>נתונים!B43</f>
        <v>14165.964567216037</v>
      </c>
      <c r="D169" s="10">
        <f>B169*נתונים!B14/12</f>
        <v>7609.9549943306311</v>
      </c>
      <c r="E169" s="10">
        <f t="shared" si="6"/>
        <v>6556.0095728854058</v>
      </c>
      <c r="F169" s="10">
        <f t="shared" si="7"/>
        <v>1895932.7390097724</v>
      </c>
    </row>
    <row r="170" spans="1:6" x14ac:dyDescent="0.25">
      <c r="A170" s="4">
        <v>169</v>
      </c>
      <c r="B170" s="10">
        <f t="shared" si="8"/>
        <v>1895932.7390097724</v>
      </c>
      <c r="C170" s="14">
        <f>נתונים!B43</f>
        <v>14165.964567216037</v>
      </c>
      <c r="D170" s="10">
        <f>B170*נתונים!B14/12</f>
        <v>7583.7309560390895</v>
      </c>
      <c r="E170" s="10">
        <f t="shared" si="6"/>
        <v>6582.2336111769473</v>
      </c>
      <c r="F170" s="10">
        <f t="shared" si="7"/>
        <v>1889350.5053985955</v>
      </c>
    </row>
    <row r="171" spans="1:6" x14ac:dyDescent="0.25">
      <c r="A171" s="4">
        <v>170</v>
      </c>
      <c r="B171" s="10">
        <f t="shared" si="8"/>
        <v>1889350.5053985955</v>
      </c>
      <c r="C171" s="14">
        <f>נתונים!B43</f>
        <v>14165.964567216037</v>
      </c>
      <c r="D171" s="10">
        <f>B171*נתונים!B14/12</f>
        <v>7557.4020215943819</v>
      </c>
      <c r="E171" s="10">
        <f t="shared" si="6"/>
        <v>6608.5625456216549</v>
      </c>
      <c r="F171" s="10">
        <f t="shared" si="7"/>
        <v>1882741.9428529737</v>
      </c>
    </row>
    <row r="172" spans="1:6" x14ac:dyDescent="0.25">
      <c r="A172" s="4">
        <v>171</v>
      </c>
      <c r="B172" s="10">
        <f t="shared" si="8"/>
        <v>1882741.9428529737</v>
      </c>
      <c r="C172" s="14">
        <f>נתונים!B43</f>
        <v>14165.964567216037</v>
      </c>
      <c r="D172" s="10">
        <f>B172*נתונים!B14/12</f>
        <v>7530.9677714118952</v>
      </c>
      <c r="E172" s="10">
        <f t="shared" si="6"/>
        <v>6634.9967958041416</v>
      </c>
      <c r="F172" s="10">
        <f t="shared" si="7"/>
        <v>1876106.9460571695</v>
      </c>
    </row>
    <row r="173" spans="1:6" x14ac:dyDescent="0.25">
      <c r="A173" s="4">
        <v>172</v>
      </c>
      <c r="B173" s="10">
        <f t="shared" si="8"/>
        <v>1876106.9460571695</v>
      </c>
      <c r="C173" s="14">
        <f>נתונים!B43</f>
        <v>14165.964567216037</v>
      </c>
      <c r="D173" s="10">
        <f>B173*נתונים!B14/12</f>
        <v>7504.4277842286783</v>
      </c>
      <c r="E173" s="10">
        <f t="shared" si="6"/>
        <v>6661.5367829873585</v>
      </c>
      <c r="F173" s="10">
        <f t="shared" si="7"/>
        <v>1869445.409274182</v>
      </c>
    </row>
    <row r="174" spans="1:6" x14ac:dyDescent="0.25">
      <c r="A174" s="4">
        <v>173</v>
      </c>
      <c r="B174" s="10">
        <f t="shared" si="8"/>
        <v>1869445.409274182</v>
      </c>
      <c r="C174" s="14">
        <f>נתונים!B43</f>
        <v>14165.964567216037</v>
      </c>
      <c r="D174" s="10">
        <f>B174*נתונים!B14/12</f>
        <v>7477.7816370967275</v>
      </c>
      <c r="E174" s="10">
        <f t="shared" si="6"/>
        <v>6688.1829301193093</v>
      </c>
      <c r="F174" s="10">
        <f t="shared" si="7"/>
        <v>1862757.2263440627</v>
      </c>
    </row>
    <row r="175" spans="1:6" x14ac:dyDescent="0.25">
      <c r="A175" s="4">
        <v>174</v>
      </c>
      <c r="B175" s="10">
        <f t="shared" si="8"/>
        <v>1862757.2263440627</v>
      </c>
      <c r="C175" s="14">
        <f>נתונים!B43</f>
        <v>14165.964567216037</v>
      </c>
      <c r="D175" s="10">
        <f>B175*נתונים!B14/12</f>
        <v>7451.0289053762508</v>
      </c>
      <c r="E175" s="10">
        <f t="shared" si="6"/>
        <v>6714.935661839786</v>
      </c>
      <c r="F175" s="10">
        <f t="shared" si="7"/>
        <v>1856042.2906822229</v>
      </c>
    </row>
    <row r="176" spans="1:6" x14ac:dyDescent="0.25">
      <c r="A176" s="4">
        <v>175</v>
      </c>
      <c r="B176" s="10">
        <f t="shared" si="8"/>
        <v>1856042.2906822229</v>
      </c>
      <c r="C176" s="14">
        <f>נתונים!B43</f>
        <v>14165.964567216037</v>
      </c>
      <c r="D176" s="10">
        <f>B176*נתונים!B14/12</f>
        <v>7424.1691627288919</v>
      </c>
      <c r="E176" s="10">
        <f t="shared" si="6"/>
        <v>6741.7954044871449</v>
      </c>
      <c r="F176" s="10">
        <f t="shared" si="7"/>
        <v>1849300.4952777359</v>
      </c>
    </row>
    <row r="177" spans="1:6" x14ac:dyDescent="0.25">
      <c r="A177" s="4">
        <v>176</v>
      </c>
      <c r="B177" s="10">
        <f t="shared" si="8"/>
        <v>1849300.4952777359</v>
      </c>
      <c r="C177" s="14">
        <f>נתונים!B43</f>
        <v>14165.964567216037</v>
      </c>
      <c r="D177" s="10">
        <f>B177*נתונים!B14/12</f>
        <v>7397.2019811109431</v>
      </c>
      <c r="E177" s="10">
        <f t="shared" si="6"/>
        <v>6768.7625861050938</v>
      </c>
      <c r="F177" s="10">
        <f t="shared" si="7"/>
        <v>1842531.7326916307</v>
      </c>
    </row>
    <row r="178" spans="1:6" x14ac:dyDescent="0.25">
      <c r="A178" s="4">
        <v>177</v>
      </c>
      <c r="B178" s="10">
        <f t="shared" si="8"/>
        <v>1842531.7326916307</v>
      </c>
      <c r="C178" s="14">
        <f>נתונים!B43</f>
        <v>14165.964567216037</v>
      </c>
      <c r="D178" s="10">
        <f>B178*נתונים!B14/12</f>
        <v>7370.1269307665234</v>
      </c>
      <c r="E178" s="10">
        <f t="shared" si="6"/>
        <v>6795.8376364495134</v>
      </c>
      <c r="F178" s="10">
        <f t="shared" si="7"/>
        <v>1835735.8950551811</v>
      </c>
    </row>
    <row r="179" spans="1:6" x14ac:dyDescent="0.25">
      <c r="A179" s="4">
        <v>178</v>
      </c>
      <c r="B179" s="10">
        <f t="shared" si="8"/>
        <v>1835735.8950551811</v>
      </c>
      <c r="C179" s="14">
        <f>נתונים!B43</f>
        <v>14165.964567216037</v>
      </c>
      <c r="D179" s="10">
        <f>B179*נתונים!B14/12</f>
        <v>7342.9435802207254</v>
      </c>
      <c r="E179" s="10">
        <f t="shared" si="6"/>
        <v>6823.0209869953114</v>
      </c>
      <c r="F179" s="10">
        <f t="shared" si="7"/>
        <v>1828912.8740681857</v>
      </c>
    </row>
    <row r="180" spans="1:6" x14ac:dyDescent="0.25">
      <c r="A180" s="4">
        <v>179</v>
      </c>
      <c r="B180" s="10">
        <f t="shared" si="8"/>
        <v>1828912.8740681857</v>
      </c>
      <c r="C180" s="14">
        <f>נתונים!B43</f>
        <v>14165.964567216037</v>
      </c>
      <c r="D180" s="10">
        <f>B180*נתונים!B14/12</f>
        <v>7315.6514962727424</v>
      </c>
      <c r="E180" s="10">
        <f t="shared" si="6"/>
        <v>6850.3130709432944</v>
      </c>
      <c r="F180" s="10">
        <f t="shared" si="7"/>
        <v>1822062.5609972423</v>
      </c>
    </row>
    <row r="181" spans="1:6" x14ac:dyDescent="0.25">
      <c r="A181" s="4">
        <v>180</v>
      </c>
      <c r="B181" s="10">
        <f t="shared" si="8"/>
        <v>1822062.5609972423</v>
      </c>
      <c r="C181" s="14">
        <f>נתונים!B43</f>
        <v>14165.964567216037</v>
      </c>
      <c r="D181" s="10">
        <f>B181*נתונים!B14/12</f>
        <v>7288.2502439889695</v>
      </c>
      <c r="E181" s="10">
        <f t="shared" si="6"/>
        <v>6877.7143232270673</v>
      </c>
      <c r="F181" s="10">
        <f t="shared" si="7"/>
        <v>1815184.8466740153</v>
      </c>
    </row>
    <row r="182" spans="1:6" x14ac:dyDescent="0.25">
      <c r="A182" s="4">
        <v>181</v>
      </c>
      <c r="B182" s="10">
        <f t="shared" si="8"/>
        <v>1815184.8466740153</v>
      </c>
      <c r="C182" s="14">
        <f>נתונים!B43</f>
        <v>14165.964567216037</v>
      </c>
      <c r="D182" s="10">
        <f>B182*נתונים!B14/12</f>
        <v>7260.739386696062</v>
      </c>
      <c r="E182" s="10">
        <f t="shared" si="6"/>
        <v>6905.2251805199749</v>
      </c>
      <c r="F182" s="10">
        <f t="shared" si="7"/>
        <v>1808279.6214934953</v>
      </c>
    </row>
    <row r="183" spans="1:6" x14ac:dyDescent="0.25">
      <c r="A183" s="4">
        <v>182</v>
      </c>
      <c r="B183" s="10">
        <f t="shared" si="8"/>
        <v>1808279.6214934953</v>
      </c>
      <c r="C183" s="14">
        <f>נתונים!B43</f>
        <v>14165.964567216037</v>
      </c>
      <c r="D183" s="10">
        <f>B183*נתונים!B14/12</f>
        <v>7233.1184859739815</v>
      </c>
      <c r="E183" s="10">
        <f t="shared" si="6"/>
        <v>6932.8460812420553</v>
      </c>
      <c r="F183" s="10">
        <f t="shared" si="7"/>
        <v>1801346.7754122533</v>
      </c>
    </row>
    <row r="184" spans="1:6" x14ac:dyDescent="0.25">
      <c r="A184" s="4">
        <v>183</v>
      </c>
      <c r="B184" s="10">
        <f t="shared" si="8"/>
        <v>1801346.7754122533</v>
      </c>
      <c r="C184" s="14">
        <f>נתונים!B43</f>
        <v>14165.964567216037</v>
      </c>
      <c r="D184" s="10">
        <f>B184*נתונים!B14/12</f>
        <v>7205.3871016490129</v>
      </c>
      <c r="E184" s="10">
        <f t="shared" si="6"/>
        <v>6960.5774655670239</v>
      </c>
      <c r="F184" s="10">
        <f t="shared" si="7"/>
        <v>1794386.1979466863</v>
      </c>
    </row>
    <row r="185" spans="1:6" x14ac:dyDescent="0.25">
      <c r="A185" s="4">
        <v>184</v>
      </c>
      <c r="B185" s="10">
        <f t="shared" si="8"/>
        <v>1794386.1979466863</v>
      </c>
      <c r="C185" s="14">
        <f>נתונים!B43</f>
        <v>14165.964567216037</v>
      </c>
      <c r="D185" s="10">
        <f>B185*נתונים!B14/12</f>
        <v>7177.5447917867459</v>
      </c>
      <c r="E185" s="10">
        <f t="shared" si="6"/>
        <v>6988.4197754292909</v>
      </c>
      <c r="F185" s="10">
        <f t="shared" si="7"/>
        <v>1787397.7781712571</v>
      </c>
    </row>
    <row r="186" spans="1:6" x14ac:dyDescent="0.25">
      <c r="A186" s="4">
        <v>185</v>
      </c>
      <c r="B186" s="10">
        <f t="shared" si="8"/>
        <v>1787397.7781712571</v>
      </c>
      <c r="C186" s="14">
        <f>נתונים!B43</f>
        <v>14165.964567216037</v>
      </c>
      <c r="D186" s="10">
        <f>B186*נתונים!B14/12</f>
        <v>7149.5911126850287</v>
      </c>
      <c r="E186" s="10">
        <f t="shared" si="6"/>
        <v>7016.3734545310081</v>
      </c>
      <c r="F186" s="10">
        <f t="shared" si="7"/>
        <v>1780381.4047167262</v>
      </c>
    </row>
    <row r="187" spans="1:6" x14ac:dyDescent="0.25">
      <c r="A187" s="4">
        <v>186</v>
      </c>
      <c r="B187" s="10">
        <f t="shared" si="8"/>
        <v>1780381.4047167262</v>
      </c>
      <c r="C187" s="14">
        <f>נתונים!B43</f>
        <v>14165.964567216037</v>
      </c>
      <c r="D187" s="10">
        <f>B187*נתונים!B14/12</f>
        <v>7121.5256188669046</v>
      </c>
      <c r="E187" s="10">
        <f t="shared" si="6"/>
        <v>7044.4389483491323</v>
      </c>
      <c r="F187" s="10">
        <f t="shared" si="7"/>
        <v>1773336.9657683771</v>
      </c>
    </row>
    <row r="188" spans="1:6" x14ac:dyDescent="0.25">
      <c r="A188" s="4">
        <v>187</v>
      </c>
      <c r="B188" s="10">
        <f t="shared" si="8"/>
        <v>1773336.9657683771</v>
      </c>
      <c r="C188" s="14">
        <f>נתונים!B43</f>
        <v>14165.964567216037</v>
      </c>
      <c r="D188" s="10">
        <f>B188*נתונים!B14/12</f>
        <v>7093.3478630735081</v>
      </c>
      <c r="E188" s="10">
        <f t="shared" si="6"/>
        <v>7072.6167041425288</v>
      </c>
      <c r="F188" s="10">
        <f t="shared" si="7"/>
        <v>1766264.3490642346</v>
      </c>
    </row>
    <row r="189" spans="1:6" x14ac:dyDescent="0.25">
      <c r="A189" s="4">
        <v>188</v>
      </c>
      <c r="B189" s="10">
        <f t="shared" si="8"/>
        <v>1766264.3490642346</v>
      </c>
      <c r="C189" s="14">
        <f>נתונים!B43</f>
        <v>14165.964567216037</v>
      </c>
      <c r="D189" s="10">
        <f>B189*נתונים!B14/12</f>
        <v>7065.0573962569388</v>
      </c>
      <c r="E189" s="10">
        <f t="shared" si="6"/>
        <v>7100.907170959098</v>
      </c>
      <c r="F189" s="10">
        <f t="shared" si="7"/>
        <v>1759163.4418932756</v>
      </c>
    </row>
    <row r="190" spans="1:6" x14ac:dyDescent="0.25">
      <c r="A190" s="4">
        <v>189</v>
      </c>
      <c r="B190" s="10">
        <f t="shared" si="8"/>
        <v>1759163.4418932756</v>
      </c>
      <c r="C190" s="14">
        <f>נתונים!B43</f>
        <v>14165.964567216037</v>
      </c>
      <c r="D190" s="10">
        <f>B190*נתונים!B14/12</f>
        <v>7036.6537675731024</v>
      </c>
      <c r="E190" s="10">
        <f t="shared" si="6"/>
        <v>7129.3107996429344</v>
      </c>
      <c r="F190" s="10">
        <f t="shared" si="7"/>
        <v>1752034.1310936327</v>
      </c>
    </row>
    <row r="191" spans="1:6" x14ac:dyDescent="0.25">
      <c r="A191" s="4">
        <v>190</v>
      </c>
      <c r="B191" s="10">
        <f t="shared" si="8"/>
        <v>1752034.1310936327</v>
      </c>
      <c r="C191" s="14">
        <f>נתונים!B43</f>
        <v>14165.964567216037</v>
      </c>
      <c r="D191" s="10">
        <f>B191*נתונים!B14/12</f>
        <v>7008.1365243745313</v>
      </c>
      <c r="E191" s="10">
        <f t="shared" si="6"/>
        <v>7157.8280428415055</v>
      </c>
      <c r="F191" s="10">
        <f t="shared" si="7"/>
        <v>1744876.3030507911</v>
      </c>
    </row>
    <row r="192" spans="1:6" x14ac:dyDescent="0.25">
      <c r="A192" s="4">
        <v>191</v>
      </c>
      <c r="B192" s="10">
        <f t="shared" si="8"/>
        <v>1744876.3030507911</v>
      </c>
      <c r="C192" s="14">
        <f>נתונים!B43</f>
        <v>14165.964567216037</v>
      </c>
      <c r="D192" s="10">
        <f>B192*נתונים!B14/12</f>
        <v>6979.5052122031639</v>
      </c>
      <c r="E192" s="10">
        <f t="shared" si="6"/>
        <v>7186.4593550128729</v>
      </c>
      <c r="F192" s="10">
        <f t="shared" si="7"/>
        <v>1737689.8436957782</v>
      </c>
    </row>
    <row r="193" spans="1:6" x14ac:dyDescent="0.25">
      <c r="A193" s="4">
        <v>192</v>
      </c>
      <c r="B193" s="10">
        <f t="shared" si="8"/>
        <v>1737689.8436957782</v>
      </c>
      <c r="C193" s="14">
        <f>נתונים!B43</f>
        <v>14165.964567216037</v>
      </c>
      <c r="D193" s="10">
        <f>B193*נתונים!B14/12</f>
        <v>6950.7593747831124</v>
      </c>
      <c r="E193" s="10">
        <f t="shared" si="6"/>
        <v>7215.2051924329244</v>
      </c>
      <c r="F193" s="10">
        <f t="shared" si="7"/>
        <v>1730474.6385033452</v>
      </c>
    </row>
    <row r="194" spans="1:6" x14ac:dyDescent="0.25">
      <c r="A194" s="4">
        <v>193</v>
      </c>
      <c r="B194" s="10">
        <f t="shared" si="8"/>
        <v>1730474.6385033452</v>
      </c>
      <c r="C194" s="14">
        <f>נתונים!B43</f>
        <v>14165.964567216037</v>
      </c>
      <c r="D194" s="10">
        <f>B194*נתונים!B14/12</f>
        <v>6921.8985540133808</v>
      </c>
      <c r="E194" s="10">
        <f t="shared" ref="E194:E257" si="9">C194-D194</f>
        <v>7244.066013202656</v>
      </c>
      <c r="F194" s="10">
        <f t="shared" ref="F194:F257" si="10">B194-E194</f>
        <v>1723230.5724901424</v>
      </c>
    </row>
    <row r="195" spans="1:6" x14ac:dyDescent="0.25">
      <c r="A195" s="4">
        <v>194</v>
      </c>
      <c r="B195" s="10">
        <f t="shared" ref="B195:B258" si="11">F194</f>
        <v>1723230.5724901424</v>
      </c>
      <c r="C195" s="14">
        <f>נתונים!B43</f>
        <v>14165.964567216037</v>
      </c>
      <c r="D195" s="10">
        <f>B195*נתונים!B14/12</f>
        <v>6892.9222899605702</v>
      </c>
      <c r="E195" s="10">
        <f t="shared" si="9"/>
        <v>7273.0422772554666</v>
      </c>
      <c r="F195" s="10">
        <f t="shared" si="10"/>
        <v>1715957.5302128869</v>
      </c>
    </row>
    <row r="196" spans="1:6" x14ac:dyDescent="0.25">
      <c r="A196" s="4">
        <v>195</v>
      </c>
      <c r="B196" s="10">
        <f t="shared" si="11"/>
        <v>1715957.5302128869</v>
      </c>
      <c r="C196" s="14">
        <f>נתונים!B43</f>
        <v>14165.964567216037</v>
      </c>
      <c r="D196" s="10">
        <f>B196*נתונים!B14/12</f>
        <v>6863.8301208515477</v>
      </c>
      <c r="E196" s="10">
        <f t="shared" si="9"/>
        <v>7302.1344463644891</v>
      </c>
      <c r="F196" s="10">
        <f t="shared" si="10"/>
        <v>1708655.3957665223</v>
      </c>
    </row>
    <row r="197" spans="1:6" x14ac:dyDescent="0.25">
      <c r="A197" s="4">
        <v>196</v>
      </c>
      <c r="B197" s="10">
        <f t="shared" si="11"/>
        <v>1708655.3957665223</v>
      </c>
      <c r="C197" s="14">
        <f>נתונים!B43</f>
        <v>14165.964567216037</v>
      </c>
      <c r="D197" s="10">
        <f>B197*נתונים!B14/12</f>
        <v>6834.6215830660885</v>
      </c>
      <c r="E197" s="10">
        <f t="shared" si="9"/>
        <v>7331.3429841499483</v>
      </c>
      <c r="F197" s="10">
        <f t="shared" si="10"/>
        <v>1701324.0527823723</v>
      </c>
    </row>
    <row r="198" spans="1:6" x14ac:dyDescent="0.25">
      <c r="A198" s="4">
        <v>197</v>
      </c>
      <c r="B198" s="10">
        <f t="shared" si="11"/>
        <v>1701324.0527823723</v>
      </c>
      <c r="C198" s="14">
        <f>נתונים!B43</f>
        <v>14165.964567216037</v>
      </c>
      <c r="D198" s="10">
        <f>B198*נתונים!B14/12</f>
        <v>6805.2962111294901</v>
      </c>
      <c r="E198" s="10">
        <f t="shared" si="9"/>
        <v>7360.6683560865467</v>
      </c>
      <c r="F198" s="10">
        <f t="shared" si="10"/>
        <v>1693963.3844262857</v>
      </c>
    </row>
    <row r="199" spans="1:6" x14ac:dyDescent="0.25">
      <c r="A199" s="4">
        <v>198</v>
      </c>
      <c r="B199" s="10">
        <f t="shared" si="11"/>
        <v>1693963.3844262857</v>
      </c>
      <c r="C199" s="14">
        <f>נתונים!B43</f>
        <v>14165.964567216037</v>
      </c>
      <c r="D199" s="10">
        <f>B199*נתונים!B14/12</f>
        <v>6775.8535377051439</v>
      </c>
      <c r="E199" s="10">
        <f t="shared" si="9"/>
        <v>7390.1110295108929</v>
      </c>
      <c r="F199" s="10">
        <f t="shared" si="10"/>
        <v>1686573.2733967749</v>
      </c>
    </row>
    <row r="200" spans="1:6" x14ac:dyDescent="0.25">
      <c r="A200" s="4">
        <v>199</v>
      </c>
      <c r="B200" s="10">
        <f t="shared" si="11"/>
        <v>1686573.2733967749</v>
      </c>
      <c r="C200" s="14">
        <f>נתונים!B43</f>
        <v>14165.964567216037</v>
      </c>
      <c r="D200" s="10">
        <f>B200*נתונים!B14/12</f>
        <v>6746.2930935871</v>
      </c>
      <c r="E200" s="10">
        <f t="shared" si="9"/>
        <v>7419.6714736289368</v>
      </c>
      <c r="F200" s="10">
        <f t="shared" si="10"/>
        <v>1679153.6019231461</v>
      </c>
    </row>
    <row r="201" spans="1:6" x14ac:dyDescent="0.25">
      <c r="A201" s="4">
        <v>200</v>
      </c>
      <c r="B201" s="10">
        <f t="shared" si="11"/>
        <v>1679153.6019231461</v>
      </c>
      <c r="C201" s="14">
        <f>נתונים!B43</f>
        <v>14165.964567216037</v>
      </c>
      <c r="D201" s="10">
        <f>B201*נתונים!B14/12</f>
        <v>6716.6144076925848</v>
      </c>
      <c r="E201" s="10">
        <f t="shared" si="9"/>
        <v>7449.350159523452</v>
      </c>
      <c r="F201" s="10">
        <f t="shared" si="10"/>
        <v>1671704.2517636225</v>
      </c>
    </row>
    <row r="202" spans="1:6" x14ac:dyDescent="0.25">
      <c r="A202" s="4">
        <v>201</v>
      </c>
      <c r="B202" s="10">
        <f t="shared" si="11"/>
        <v>1671704.2517636225</v>
      </c>
      <c r="C202" s="14">
        <f>נתונים!B43</f>
        <v>14165.964567216037</v>
      </c>
      <c r="D202" s="10">
        <f>B202*נתונים!B14/12</f>
        <v>6686.8170070544902</v>
      </c>
      <c r="E202" s="10">
        <f t="shared" si="9"/>
        <v>7479.1475601615466</v>
      </c>
      <c r="F202" s="10">
        <f t="shared" si="10"/>
        <v>1664225.104203461</v>
      </c>
    </row>
    <row r="203" spans="1:6" x14ac:dyDescent="0.25">
      <c r="A203" s="4">
        <v>202</v>
      </c>
      <c r="B203" s="10">
        <f t="shared" si="11"/>
        <v>1664225.104203461</v>
      </c>
      <c r="C203" s="14">
        <f>נתונים!B43</f>
        <v>14165.964567216037</v>
      </c>
      <c r="D203" s="10">
        <f>B203*נתונים!B14/12</f>
        <v>6656.9004168138445</v>
      </c>
      <c r="E203" s="10">
        <f t="shared" si="9"/>
        <v>7509.0641504021924</v>
      </c>
      <c r="F203" s="10">
        <f t="shared" si="10"/>
        <v>1656716.0400530589</v>
      </c>
    </row>
    <row r="204" spans="1:6" x14ac:dyDescent="0.25">
      <c r="A204" s="4">
        <v>203</v>
      </c>
      <c r="B204" s="10">
        <f t="shared" si="11"/>
        <v>1656716.0400530589</v>
      </c>
      <c r="C204" s="14">
        <f>נתונים!B43</f>
        <v>14165.964567216037</v>
      </c>
      <c r="D204" s="10">
        <f>B204*נתונים!B14/12</f>
        <v>6626.8641602122361</v>
      </c>
      <c r="E204" s="10">
        <f t="shared" si="9"/>
        <v>7539.1004070038007</v>
      </c>
      <c r="F204" s="10">
        <f t="shared" si="10"/>
        <v>1649176.939646055</v>
      </c>
    </row>
    <row r="205" spans="1:6" x14ac:dyDescent="0.25">
      <c r="A205" s="4">
        <v>204</v>
      </c>
      <c r="B205" s="10">
        <f t="shared" si="11"/>
        <v>1649176.939646055</v>
      </c>
      <c r="C205" s="14">
        <f>נתונים!B43</f>
        <v>14165.964567216037</v>
      </c>
      <c r="D205" s="10">
        <f>B205*נתונים!B14/12</f>
        <v>6596.7077585842198</v>
      </c>
      <c r="E205" s="10">
        <f t="shared" si="9"/>
        <v>7569.256808631817</v>
      </c>
      <c r="F205" s="10">
        <f t="shared" si="10"/>
        <v>1641607.6828374232</v>
      </c>
    </row>
    <row r="206" spans="1:6" x14ac:dyDescent="0.25">
      <c r="A206" s="4">
        <v>205</v>
      </c>
      <c r="B206" s="10">
        <f t="shared" si="11"/>
        <v>1641607.6828374232</v>
      </c>
      <c r="C206" s="14">
        <f>נתונים!B43</f>
        <v>14165.964567216037</v>
      </c>
      <c r="D206" s="10">
        <f>B206*נתונים!B14/12</f>
        <v>6566.4307313496929</v>
      </c>
      <c r="E206" s="10">
        <f t="shared" si="9"/>
        <v>7599.5338358663439</v>
      </c>
      <c r="F206" s="10">
        <f t="shared" si="10"/>
        <v>1634008.1490015569</v>
      </c>
    </row>
    <row r="207" spans="1:6" x14ac:dyDescent="0.25">
      <c r="A207" s="4">
        <v>206</v>
      </c>
      <c r="B207" s="10">
        <f t="shared" si="11"/>
        <v>1634008.1490015569</v>
      </c>
      <c r="C207" s="14">
        <f>נתונים!B43</f>
        <v>14165.964567216037</v>
      </c>
      <c r="D207" s="10">
        <f>B207*נתונים!B14/12</f>
        <v>6536.0325960062282</v>
      </c>
      <c r="E207" s="10">
        <f t="shared" si="9"/>
        <v>7629.9319712098086</v>
      </c>
      <c r="F207" s="10">
        <f t="shared" si="10"/>
        <v>1626378.2170303471</v>
      </c>
    </row>
    <row r="208" spans="1:6" x14ac:dyDescent="0.25">
      <c r="A208" s="4">
        <v>207</v>
      </c>
      <c r="B208" s="10">
        <f t="shared" si="11"/>
        <v>1626378.2170303471</v>
      </c>
      <c r="C208" s="14">
        <f>נתונים!B43</f>
        <v>14165.964567216037</v>
      </c>
      <c r="D208" s="10">
        <f>B208*נתונים!B14/12</f>
        <v>6505.5128681213891</v>
      </c>
      <c r="E208" s="10">
        <f t="shared" si="9"/>
        <v>7660.4516990946477</v>
      </c>
      <c r="F208" s="10">
        <f t="shared" si="10"/>
        <v>1618717.7653312525</v>
      </c>
    </row>
    <row r="209" spans="1:6" x14ac:dyDescent="0.25">
      <c r="A209" s="4">
        <v>208</v>
      </c>
      <c r="B209" s="10">
        <f t="shared" si="11"/>
        <v>1618717.7653312525</v>
      </c>
      <c r="C209" s="14">
        <f>נתונים!B43</f>
        <v>14165.964567216037</v>
      </c>
      <c r="D209" s="10">
        <f>B209*נתונים!B14/12</f>
        <v>6474.8710613250105</v>
      </c>
      <c r="E209" s="10">
        <f t="shared" si="9"/>
        <v>7691.0935058910263</v>
      </c>
      <c r="F209" s="10">
        <f t="shared" si="10"/>
        <v>1611026.6718253614</v>
      </c>
    </row>
    <row r="210" spans="1:6" x14ac:dyDescent="0.25">
      <c r="A210" s="4">
        <v>209</v>
      </c>
      <c r="B210" s="10">
        <f t="shared" si="11"/>
        <v>1611026.6718253614</v>
      </c>
      <c r="C210" s="14">
        <f>נתונים!B43</f>
        <v>14165.964567216037</v>
      </c>
      <c r="D210" s="10">
        <f>B210*נתונים!B14/12</f>
        <v>6444.1066873014461</v>
      </c>
      <c r="E210" s="10">
        <f t="shared" si="9"/>
        <v>7721.8578799145907</v>
      </c>
      <c r="F210" s="10">
        <f t="shared" si="10"/>
        <v>1603304.8139454469</v>
      </c>
    </row>
    <row r="211" spans="1:6" x14ac:dyDescent="0.25">
      <c r="A211" s="4">
        <v>210</v>
      </c>
      <c r="B211" s="10">
        <f t="shared" si="11"/>
        <v>1603304.8139454469</v>
      </c>
      <c r="C211" s="14">
        <f>נתונים!B43</f>
        <v>14165.964567216037</v>
      </c>
      <c r="D211" s="10">
        <f>B211*נתונים!B14/12</f>
        <v>6413.2192557817871</v>
      </c>
      <c r="E211" s="10">
        <f t="shared" si="9"/>
        <v>7752.7453114342497</v>
      </c>
      <c r="F211" s="10">
        <f t="shared" si="10"/>
        <v>1595552.0686340127</v>
      </c>
    </row>
    <row r="212" spans="1:6" x14ac:dyDescent="0.25">
      <c r="A212" s="4">
        <v>211</v>
      </c>
      <c r="B212" s="10">
        <f t="shared" si="11"/>
        <v>1595552.0686340127</v>
      </c>
      <c r="C212" s="14">
        <f>נתונים!B43</f>
        <v>14165.964567216037</v>
      </c>
      <c r="D212" s="10">
        <f>B212*נתונים!B14/12</f>
        <v>6382.2082745360503</v>
      </c>
      <c r="E212" s="10">
        <f t="shared" si="9"/>
        <v>7783.7562926799865</v>
      </c>
      <c r="F212" s="10">
        <f t="shared" si="10"/>
        <v>1587768.3123413327</v>
      </c>
    </row>
    <row r="213" spans="1:6" x14ac:dyDescent="0.25">
      <c r="A213" s="4">
        <v>212</v>
      </c>
      <c r="B213" s="10">
        <f t="shared" si="11"/>
        <v>1587768.3123413327</v>
      </c>
      <c r="C213" s="14">
        <f>נתונים!B43</f>
        <v>14165.964567216037</v>
      </c>
      <c r="D213" s="10">
        <f>B213*נתונים!B14/12</f>
        <v>6351.0732493653304</v>
      </c>
      <c r="E213" s="10">
        <f t="shared" si="9"/>
        <v>7814.8913178507064</v>
      </c>
      <c r="F213" s="10">
        <f t="shared" si="10"/>
        <v>1579953.421023482</v>
      </c>
    </row>
    <row r="214" spans="1:6" x14ac:dyDescent="0.25">
      <c r="A214" s="4">
        <v>213</v>
      </c>
      <c r="B214" s="10">
        <f t="shared" si="11"/>
        <v>1579953.421023482</v>
      </c>
      <c r="C214" s="14">
        <f>נתונים!B43</f>
        <v>14165.964567216037</v>
      </c>
      <c r="D214" s="10">
        <f>B214*נתונים!B14/12</f>
        <v>6319.8136840939287</v>
      </c>
      <c r="E214" s="10">
        <f t="shared" si="9"/>
        <v>7846.1508831221081</v>
      </c>
      <c r="F214" s="10">
        <f t="shared" si="10"/>
        <v>1572107.2701403599</v>
      </c>
    </row>
    <row r="215" spans="1:6" x14ac:dyDescent="0.25">
      <c r="A215" s="4">
        <v>214</v>
      </c>
      <c r="B215" s="10">
        <f t="shared" si="11"/>
        <v>1572107.2701403599</v>
      </c>
      <c r="C215" s="14">
        <f>נתונים!B43</f>
        <v>14165.964567216037</v>
      </c>
      <c r="D215" s="10">
        <f>B215*נתונים!B14/12</f>
        <v>6288.4290805614401</v>
      </c>
      <c r="E215" s="10">
        <f t="shared" si="9"/>
        <v>7877.5354866545968</v>
      </c>
      <c r="F215" s="10">
        <f t="shared" si="10"/>
        <v>1564229.7346537053</v>
      </c>
    </row>
    <row r="216" spans="1:6" x14ac:dyDescent="0.25">
      <c r="A216" s="4">
        <v>215</v>
      </c>
      <c r="B216" s="10">
        <f t="shared" si="11"/>
        <v>1564229.7346537053</v>
      </c>
      <c r="C216" s="14">
        <f>נתונים!B43</f>
        <v>14165.964567216037</v>
      </c>
      <c r="D216" s="10">
        <f>B216*נתונים!B14/12</f>
        <v>6256.9189386148209</v>
      </c>
      <c r="E216" s="10">
        <f t="shared" si="9"/>
        <v>7909.0456286012159</v>
      </c>
      <c r="F216" s="10">
        <f t="shared" si="10"/>
        <v>1556320.689025104</v>
      </c>
    </row>
    <row r="217" spans="1:6" x14ac:dyDescent="0.25">
      <c r="A217" s="4">
        <v>216</v>
      </c>
      <c r="B217" s="10">
        <f t="shared" si="11"/>
        <v>1556320.689025104</v>
      </c>
      <c r="C217" s="14">
        <f>נתונים!B43</f>
        <v>14165.964567216037</v>
      </c>
      <c r="D217" s="10">
        <f>B217*נתונים!B14/12</f>
        <v>6225.282756100416</v>
      </c>
      <c r="E217" s="10">
        <f t="shared" si="9"/>
        <v>7940.6818111156208</v>
      </c>
      <c r="F217" s="10">
        <f t="shared" si="10"/>
        <v>1548380.0072139883</v>
      </c>
    </row>
    <row r="218" spans="1:6" x14ac:dyDescent="0.25">
      <c r="A218" s="4">
        <v>217</v>
      </c>
      <c r="B218" s="10">
        <f t="shared" si="11"/>
        <v>1548380.0072139883</v>
      </c>
      <c r="C218" s="14">
        <f>נתונים!B43</f>
        <v>14165.964567216037</v>
      </c>
      <c r="D218" s="10">
        <f>B218*נתונים!B14/12</f>
        <v>6193.5200288559536</v>
      </c>
      <c r="E218" s="10">
        <f t="shared" si="9"/>
        <v>7972.4445383600832</v>
      </c>
      <c r="F218" s="10">
        <f t="shared" si="10"/>
        <v>1540407.5626756283</v>
      </c>
    </row>
    <row r="219" spans="1:6" x14ac:dyDescent="0.25">
      <c r="A219" s="4">
        <v>218</v>
      </c>
      <c r="B219" s="10">
        <f t="shared" si="11"/>
        <v>1540407.5626756283</v>
      </c>
      <c r="C219" s="14">
        <f>נתונים!B43</f>
        <v>14165.964567216037</v>
      </c>
      <c r="D219" s="10">
        <f>B219*נתונים!B14/12</f>
        <v>6161.6302507025139</v>
      </c>
      <c r="E219" s="10">
        <f t="shared" si="9"/>
        <v>8004.3343165135229</v>
      </c>
      <c r="F219" s="10">
        <f t="shared" si="10"/>
        <v>1532403.2283591148</v>
      </c>
    </row>
    <row r="220" spans="1:6" x14ac:dyDescent="0.25">
      <c r="A220" s="4">
        <v>219</v>
      </c>
      <c r="B220" s="10">
        <f t="shared" si="11"/>
        <v>1532403.2283591148</v>
      </c>
      <c r="C220" s="14">
        <f>נתונים!B43</f>
        <v>14165.964567216037</v>
      </c>
      <c r="D220" s="10">
        <f>B220*נתונים!B14/12</f>
        <v>6129.6129134364601</v>
      </c>
      <c r="E220" s="10">
        <f t="shared" si="9"/>
        <v>8036.3516537795767</v>
      </c>
      <c r="F220" s="10">
        <f t="shared" si="10"/>
        <v>1524366.8767053352</v>
      </c>
    </row>
    <row r="221" spans="1:6" x14ac:dyDescent="0.25">
      <c r="A221" s="4">
        <v>220</v>
      </c>
      <c r="B221" s="10">
        <f t="shared" si="11"/>
        <v>1524366.8767053352</v>
      </c>
      <c r="C221" s="14">
        <f>נתונים!B43</f>
        <v>14165.964567216037</v>
      </c>
      <c r="D221" s="10">
        <f>B221*נתונים!B14/12</f>
        <v>6097.467506821341</v>
      </c>
      <c r="E221" s="10">
        <f t="shared" si="9"/>
        <v>8068.4970603946958</v>
      </c>
      <c r="F221" s="10">
        <f t="shared" si="10"/>
        <v>1516298.3796449406</v>
      </c>
    </row>
    <row r="222" spans="1:6" x14ac:dyDescent="0.25">
      <c r="A222" s="4">
        <v>221</v>
      </c>
      <c r="B222" s="10">
        <f t="shared" si="11"/>
        <v>1516298.3796449406</v>
      </c>
      <c r="C222" s="14">
        <f>נתונים!B43</f>
        <v>14165.964567216037</v>
      </c>
      <c r="D222" s="10">
        <f>B222*נתונים!B14/12</f>
        <v>6065.1935185797629</v>
      </c>
      <c r="E222" s="10">
        <f t="shared" si="9"/>
        <v>8100.7710486362739</v>
      </c>
      <c r="F222" s="10">
        <f t="shared" si="10"/>
        <v>1508197.6085963044</v>
      </c>
    </row>
    <row r="223" spans="1:6" x14ac:dyDescent="0.25">
      <c r="A223" s="4">
        <v>222</v>
      </c>
      <c r="B223" s="10">
        <f t="shared" si="11"/>
        <v>1508197.6085963044</v>
      </c>
      <c r="C223" s="14">
        <f>נתונים!B43</f>
        <v>14165.964567216037</v>
      </c>
      <c r="D223" s="10">
        <f>B223*נתונים!B14/12</f>
        <v>6032.7904343852178</v>
      </c>
      <c r="E223" s="10">
        <f t="shared" si="9"/>
        <v>8133.174132830819</v>
      </c>
      <c r="F223" s="10">
        <f t="shared" si="10"/>
        <v>1500064.4344634735</v>
      </c>
    </row>
    <row r="224" spans="1:6" x14ac:dyDescent="0.25">
      <c r="A224" s="4">
        <v>223</v>
      </c>
      <c r="B224" s="10">
        <f t="shared" si="11"/>
        <v>1500064.4344634735</v>
      </c>
      <c r="C224" s="14">
        <f>נתונים!B43</f>
        <v>14165.964567216037</v>
      </c>
      <c r="D224" s="10">
        <f>B224*נתונים!B14/12</f>
        <v>6000.2577378538945</v>
      </c>
      <c r="E224" s="10">
        <f t="shared" si="9"/>
        <v>8165.7068293621423</v>
      </c>
      <c r="F224" s="10">
        <f t="shared" si="10"/>
        <v>1491898.7276341114</v>
      </c>
    </row>
    <row r="225" spans="1:6" x14ac:dyDescent="0.25">
      <c r="A225" s="4">
        <v>224</v>
      </c>
      <c r="B225" s="10">
        <f t="shared" si="11"/>
        <v>1491898.7276341114</v>
      </c>
      <c r="C225" s="14">
        <f>נתונים!B43</f>
        <v>14165.964567216037</v>
      </c>
      <c r="D225" s="10">
        <f>B225*נתונים!B14/12</f>
        <v>5967.5949105364452</v>
      </c>
      <c r="E225" s="10">
        <f t="shared" si="9"/>
        <v>8198.3696566795916</v>
      </c>
      <c r="F225" s="10">
        <f t="shared" si="10"/>
        <v>1483700.3579774317</v>
      </c>
    </row>
    <row r="226" spans="1:6" x14ac:dyDescent="0.25">
      <c r="A226" s="4">
        <v>225</v>
      </c>
      <c r="B226" s="10">
        <f t="shared" si="11"/>
        <v>1483700.3579774317</v>
      </c>
      <c r="C226" s="14">
        <f>נתונים!B43</f>
        <v>14165.964567216037</v>
      </c>
      <c r="D226" s="10">
        <f>B226*נתונים!B14/12</f>
        <v>5934.8014319097274</v>
      </c>
      <c r="E226" s="10">
        <f t="shared" si="9"/>
        <v>8231.1631353063094</v>
      </c>
      <c r="F226" s="10">
        <f t="shared" si="10"/>
        <v>1475469.1948421255</v>
      </c>
    </row>
    <row r="227" spans="1:6" x14ac:dyDescent="0.25">
      <c r="A227" s="4">
        <v>226</v>
      </c>
      <c r="B227" s="10">
        <f t="shared" si="11"/>
        <v>1475469.1948421255</v>
      </c>
      <c r="C227" s="14">
        <f>נתונים!B43</f>
        <v>14165.964567216037</v>
      </c>
      <c r="D227" s="10">
        <f>B227*נתונים!B14/12</f>
        <v>5901.8767793685029</v>
      </c>
      <c r="E227" s="10">
        <f t="shared" si="9"/>
        <v>8264.087787847533</v>
      </c>
      <c r="F227" s="10">
        <f t="shared" si="10"/>
        <v>1467205.107054278</v>
      </c>
    </row>
    <row r="228" spans="1:6" x14ac:dyDescent="0.25">
      <c r="A228" s="4">
        <v>227</v>
      </c>
      <c r="B228" s="10">
        <f t="shared" si="11"/>
        <v>1467205.107054278</v>
      </c>
      <c r="C228" s="14">
        <f>נתונים!B43</f>
        <v>14165.964567216037</v>
      </c>
      <c r="D228" s="10">
        <f>B228*נתונים!B14/12</f>
        <v>5868.8204282171127</v>
      </c>
      <c r="E228" s="10">
        <f t="shared" si="9"/>
        <v>8297.1441389989232</v>
      </c>
      <c r="F228" s="10">
        <f t="shared" si="10"/>
        <v>1458907.9629152792</v>
      </c>
    </row>
    <row r="229" spans="1:6" x14ac:dyDescent="0.25">
      <c r="A229" s="4">
        <v>228</v>
      </c>
      <c r="B229" s="10">
        <f t="shared" si="11"/>
        <v>1458907.9629152792</v>
      </c>
      <c r="C229" s="14">
        <f>נתונים!B43</f>
        <v>14165.964567216037</v>
      </c>
      <c r="D229" s="10">
        <f>B229*נתונים!B14/12</f>
        <v>5835.6318516611173</v>
      </c>
      <c r="E229" s="10">
        <f t="shared" si="9"/>
        <v>8330.3327155549196</v>
      </c>
      <c r="F229" s="10">
        <f t="shared" si="10"/>
        <v>1450577.6301997243</v>
      </c>
    </row>
    <row r="230" spans="1:6" x14ac:dyDescent="0.25">
      <c r="A230" s="4">
        <v>229</v>
      </c>
      <c r="B230" s="10">
        <f t="shared" si="11"/>
        <v>1450577.6301997243</v>
      </c>
      <c r="C230" s="14">
        <f>נתונים!B43</f>
        <v>14165.964567216037</v>
      </c>
      <c r="D230" s="10">
        <f>B230*נתונים!B14/12</f>
        <v>5802.3105207988983</v>
      </c>
      <c r="E230" s="10">
        <f t="shared" si="9"/>
        <v>8363.6540464171376</v>
      </c>
      <c r="F230" s="10">
        <f t="shared" si="10"/>
        <v>1442213.9761533071</v>
      </c>
    </row>
    <row r="231" spans="1:6" x14ac:dyDescent="0.25">
      <c r="A231" s="4">
        <v>230</v>
      </c>
      <c r="B231" s="10">
        <f t="shared" si="11"/>
        <v>1442213.9761533071</v>
      </c>
      <c r="C231" s="14">
        <f>נתונים!B43</f>
        <v>14165.964567216037</v>
      </c>
      <c r="D231" s="10">
        <f>B231*נתונים!B14/12</f>
        <v>5768.8559046132286</v>
      </c>
      <c r="E231" s="10">
        <f t="shared" si="9"/>
        <v>8397.1086626028082</v>
      </c>
      <c r="F231" s="10">
        <f t="shared" si="10"/>
        <v>1433816.8674907044</v>
      </c>
    </row>
    <row r="232" spans="1:6" x14ac:dyDescent="0.25">
      <c r="A232" s="4">
        <v>231</v>
      </c>
      <c r="B232" s="10">
        <f t="shared" si="11"/>
        <v>1433816.8674907044</v>
      </c>
      <c r="C232" s="14">
        <f>נתונים!B43</f>
        <v>14165.964567216037</v>
      </c>
      <c r="D232" s="10">
        <f>B232*נתונים!B14/12</f>
        <v>5735.2674699628178</v>
      </c>
      <c r="E232" s="10">
        <f t="shared" si="9"/>
        <v>8430.6970972532181</v>
      </c>
      <c r="F232" s="10">
        <f t="shared" si="10"/>
        <v>1425386.1703934511</v>
      </c>
    </row>
    <row r="233" spans="1:6" x14ac:dyDescent="0.25">
      <c r="A233" s="4">
        <v>232</v>
      </c>
      <c r="B233" s="10">
        <f t="shared" si="11"/>
        <v>1425386.1703934511</v>
      </c>
      <c r="C233" s="14">
        <f>נתונים!B43</f>
        <v>14165.964567216037</v>
      </c>
      <c r="D233" s="10">
        <f>B233*נתונים!B14/12</f>
        <v>5701.5446815738042</v>
      </c>
      <c r="E233" s="10">
        <f t="shared" si="9"/>
        <v>8464.4198856422336</v>
      </c>
      <c r="F233" s="10">
        <f t="shared" si="10"/>
        <v>1416921.750507809</v>
      </c>
    </row>
    <row r="234" spans="1:6" x14ac:dyDescent="0.25">
      <c r="A234" s="4">
        <v>233</v>
      </c>
      <c r="B234" s="10">
        <f t="shared" si="11"/>
        <v>1416921.750507809</v>
      </c>
      <c r="C234" s="14">
        <f>נתונים!B43</f>
        <v>14165.964567216037</v>
      </c>
      <c r="D234" s="10">
        <f>B234*נתונים!B14/12</f>
        <v>5667.6870020312354</v>
      </c>
      <c r="E234" s="10">
        <f t="shared" si="9"/>
        <v>8498.2775651848024</v>
      </c>
      <c r="F234" s="10">
        <f t="shared" si="10"/>
        <v>1408423.4729426242</v>
      </c>
    </row>
    <row r="235" spans="1:6" x14ac:dyDescent="0.25">
      <c r="A235" s="4">
        <v>234</v>
      </c>
      <c r="B235" s="10">
        <f t="shared" si="11"/>
        <v>1408423.4729426242</v>
      </c>
      <c r="C235" s="14">
        <f>נתונים!B43</f>
        <v>14165.964567216037</v>
      </c>
      <c r="D235" s="10">
        <f>B235*נתונים!B14/12</f>
        <v>5633.6938917704974</v>
      </c>
      <c r="E235" s="10">
        <f t="shared" si="9"/>
        <v>8532.2706754455394</v>
      </c>
      <c r="F235" s="10">
        <f t="shared" si="10"/>
        <v>1399891.2022671788</v>
      </c>
    </row>
    <row r="236" spans="1:6" x14ac:dyDescent="0.25">
      <c r="A236" s="4">
        <v>235</v>
      </c>
      <c r="B236" s="10">
        <f t="shared" si="11"/>
        <v>1399891.2022671788</v>
      </c>
      <c r="C236" s="14">
        <f>נתונים!B43</f>
        <v>14165.964567216037</v>
      </c>
      <c r="D236" s="10">
        <f>B236*נתונים!B14/12</f>
        <v>5599.5648090687146</v>
      </c>
      <c r="E236" s="10">
        <f t="shared" si="9"/>
        <v>8566.3997581473232</v>
      </c>
      <c r="F236" s="10">
        <f t="shared" si="10"/>
        <v>1391324.8025090315</v>
      </c>
    </row>
    <row r="237" spans="1:6" x14ac:dyDescent="0.25">
      <c r="A237" s="4">
        <v>236</v>
      </c>
      <c r="B237" s="10">
        <f t="shared" si="11"/>
        <v>1391324.8025090315</v>
      </c>
      <c r="C237" s="14">
        <f>נתונים!B43</f>
        <v>14165.964567216037</v>
      </c>
      <c r="D237" s="10">
        <f>B237*נתונים!B14/12</f>
        <v>5565.2992100361262</v>
      </c>
      <c r="E237" s="10">
        <f t="shared" si="9"/>
        <v>8600.6653571799106</v>
      </c>
      <c r="F237" s="10">
        <f t="shared" si="10"/>
        <v>1382724.1371518516</v>
      </c>
    </row>
    <row r="238" spans="1:6" x14ac:dyDescent="0.25">
      <c r="A238" s="4">
        <v>237</v>
      </c>
      <c r="B238" s="10">
        <f t="shared" si="11"/>
        <v>1382724.1371518516</v>
      </c>
      <c r="C238" s="14">
        <f>נתונים!B43</f>
        <v>14165.964567216037</v>
      </c>
      <c r="D238" s="10">
        <f>B238*נתונים!B14/12</f>
        <v>5530.8965486074057</v>
      </c>
      <c r="E238" s="10">
        <f t="shared" si="9"/>
        <v>8635.068018608632</v>
      </c>
      <c r="F238" s="10">
        <f t="shared" si="10"/>
        <v>1374089.0691332428</v>
      </c>
    </row>
    <row r="239" spans="1:6" x14ac:dyDescent="0.25">
      <c r="A239" s="4">
        <v>238</v>
      </c>
      <c r="B239" s="10">
        <f t="shared" si="11"/>
        <v>1374089.0691332428</v>
      </c>
      <c r="C239" s="14">
        <f>נתונים!B43</f>
        <v>14165.964567216037</v>
      </c>
      <c r="D239" s="10">
        <f>B239*נתונים!B14/12</f>
        <v>5496.3562765329707</v>
      </c>
      <c r="E239" s="10">
        <f t="shared" si="9"/>
        <v>8669.608290683067</v>
      </c>
      <c r="F239" s="10">
        <f t="shared" si="10"/>
        <v>1365419.4608425598</v>
      </c>
    </row>
    <row r="240" spans="1:6" x14ac:dyDescent="0.25">
      <c r="A240" s="4">
        <v>239</v>
      </c>
      <c r="B240" s="10">
        <f t="shared" si="11"/>
        <v>1365419.4608425598</v>
      </c>
      <c r="C240" s="14">
        <f>נתונים!B43</f>
        <v>14165.964567216037</v>
      </c>
      <c r="D240" s="10">
        <f>B240*נתונים!B14/12</f>
        <v>5461.6778433702393</v>
      </c>
      <c r="E240" s="10">
        <f t="shared" si="9"/>
        <v>8704.2867238457984</v>
      </c>
      <c r="F240" s="10">
        <f t="shared" si="10"/>
        <v>1356715.1741187139</v>
      </c>
    </row>
    <row r="241" spans="1:6" x14ac:dyDescent="0.25">
      <c r="A241" s="4">
        <v>240</v>
      </c>
      <c r="B241" s="10">
        <f t="shared" si="11"/>
        <v>1356715.1741187139</v>
      </c>
      <c r="C241" s="14">
        <f>נתונים!B43</f>
        <v>14165.964567216037</v>
      </c>
      <c r="D241" s="10">
        <f>B241*נתונים!B14/12</f>
        <v>5426.860696474856</v>
      </c>
      <c r="E241" s="10">
        <f t="shared" si="9"/>
        <v>8739.1038707411808</v>
      </c>
      <c r="F241" s="10">
        <f t="shared" si="10"/>
        <v>1347976.0702479728</v>
      </c>
    </row>
    <row r="242" spans="1:6" x14ac:dyDescent="0.25">
      <c r="A242" s="4">
        <v>241</v>
      </c>
      <c r="B242" s="10">
        <f t="shared" si="11"/>
        <v>1347976.0702479728</v>
      </c>
      <c r="C242" s="14">
        <f>נתונים!B43</f>
        <v>14165.964567216037</v>
      </c>
      <c r="D242" s="10">
        <f>B242*נתונים!B14/12</f>
        <v>5391.904280991891</v>
      </c>
      <c r="E242" s="10">
        <f t="shared" si="9"/>
        <v>8774.0602862241467</v>
      </c>
      <c r="F242" s="10">
        <f t="shared" si="10"/>
        <v>1339202.0099617487</v>
      </c>
    </row>
    <row r="243" spans="1:6" x14ac:dyDescent="0.25">
      <c r="A243" s="4">
        <v>242</v>
      </c>
      <c r="B243" s="10">
        <f t="shared" si="11"/>
        <v>1339202.0099617487</v>
      </c>
      <c r="C243" s="14">
        <f>נתונים!B43</f>
        <v>14165.964567216037</v>
      </c>
      <c r="D243" s="10">
        <f>B243*נתונים!B14/12</f>
        <v>5356.8080398469947</v>
      </c>
      <c r="E243" s="10">
        <f t="shared" si="9"/>
        <v>8809.156527369043</v>
      </c>
      <c r="F243" s="10">
        <f t="shared" si="10"/>
        <v>1330392.8534343797</v>
      </c>
    </row>
    <row r="244" spans="1:6" x14ac:dyDescent="0.25">
      <c r="A244" s="4">
        <v>243</v>
      </c>
      <c r="B244" s="10">
        <f t="shared" si="11"/>
        <v>1330392.8534343797</v>
      </c>
      <c r="C244" s="14">
        <f>נתונים!B43</f>
        <v>14165.964567216037</v>
      </c>
      <c r="D244" s="10">
        <f>B244*נתונים!B14/12</f>
        <v>5321.5714137375189</v>
      </c>
      <c r="E244" s="10">
        <f t="shared" si="9"/>
        <v>8844.3931534785188</v>
      </c>
      <c r="F244" s="10">
        <f t="shared" si="10"/>
        <v>1321548.4602809011</v>
      </c>
    </row>
    <row r="245" spans="1:6" x14ac:dyDescent="0.25">
      <c r="A245" s="4">
        <v>244</v>
      </c>
      <c r="B245" s="10">
        <f t="shared" si="11"/>
        <v>1321548.4602809011</v>
      </c>
      <c r="C245" s="14">
        <f>נתונים!B43</f>
        <v>14165.964567216037</v>
      </c>
      <c r="D245" s="10">
        <f>B245*נתונים!B14/12</f>
        <v>5286.1938411236042</v>
      </c>
      <c r="E245" s="10">
        <f t="shared" si="9"/>
        <v>8879.7707260924326</v>
      </c>
      <c r="F245" s="10">
        <f t="shared" si="10"/>
        <v>1312668.6895548087</v>
      </c>
    </row>
    <row r="246" spans="1:6" x14ac:dyDescent="0.25">
      <c r="A246" s="4">
        <v>245</v>
      </c>
      <c r="B246" s="10">
        <f t="shared" si="11"/>
        <v>1312668.6895548087</v>
      </c>
      <c r="C246" s="14">
        <f>נתונים!B43</f>
        <v>14165.964567216037</v>
      </c>
      <c r="D246" s="10">
        <f>B246*נתונים!B14/12</f>
        <v>5250.6747582192347</v>
      </c>
      <c r="E246" s="10">
        <f t="shared" si="9"/>
        <v>8915.2898089968021</v>
      </c>
      <c r="F246" s="10">
        <f t="shared" si="10"/>
        <v>1303753.3997458119</v>
      </c>
    </row>
    <row r="247" spans="1:6" x14ac:dyDescent="0.25">
      <c r="A247" s="4">
        <v>246</v>
      </c>
      <c r="B247" s="10">
        <f t="shared" si="11"/>
        <v>1303753.3997458119</v>
      </c>
      <c r="C247" s="14">
        <f>נתונים!B43</f>
        <v>14165.964567216037</v>
      </c>
      <c r="D247" s="10">
        <f>B247*נתונים!B14/12</f>
        <v>5215.0135989832479</v>
      </c>
      <c r="E247" s="10">
        <f t="shared" si="9"/>
        <v>8950.950968232788</v>
      </c>
      <c r="F247" s="10">
        <f t="shared" si="10"/>
        <v>1294802.4487775792</v>
      </c>
    </row>
    <row r="248" spans="1:6" x14ac:dyDescent="0.25">
      <c r="A248" s="4">
        <v>247</v>
      </c>
      <c r="B248" s="10">
        <f t="shared" si="11"/>
        <v>1294802.4487775792</v>
      </c>
      <c r="C248" s="14">
        <f>נתונים!B43</f>
        <v>14165.964567216037</v>
      </c>
      <c r="D248" s="10">
        <f>B248*נתונים!B14/12</f>
        <v>5179.2097951103169</v>
      </c>
      <c r="E248" s="10">
        <f t="shared" si="9"/>
        <v>8986.7547721057199</v>
      </c>
      <c r="F248" s="10">
        <f t="shared" si="10"/>
        <v>1285815.6940054735</v>
      </c>
    </row>
    <row r="249" spans="1:6" x14ac:dyDescent="0.25">
      <c r="A249" s="4">
        <v>248</v>
      </c>
      <c r="B249" s="10">
        <f t="shared" si="11"/>
        <v>1285815.6940054735</v>
      </c>
      <c r="C249" s="14">
        <f>נתונים!B43</f>
        <v>14165.964567216037</v>
      </c>
      <c r="D249" s="10">
        <f>B249*נתונים!B14/12</f>
        <v>5143.2627760218938</v>
      </c>
      <c r="E249" s="10">
        <f t="shared" si="9"/>
        <v>9022.7017911941439</v>
      </c>
      <c r="F249" s="10">
        <f t="shared" si="10"/>
        <v>1276792.9922142795</v>
      </c>
    </row>
    <row r="250" spans="1:6" x14ac:dyDescent="0.25">
      <c r="A250" s="4">
        <v>249</v>
      </c>
      <c r="B250" s="10">
        <f t="shared" si="11"/>
        <v>1276792.9922142795</v>
      </c>
      <c r="C250" s="14">
        <f>נתונים!B43</f>
        <v>14165.964567216037</v>
      </c>
      <c r="D250" s="10">
        <f>B250*נתונים!B14/12</f>
        <v>5107.1719688571184</v>
      </c>
      <c r="E250" s="10">
        <f t="shared" si="9"/>
        <v>9058.7925983589193</v>
      </c>
      <c r="F250" s="10">
        <f t="shared" si="10"/>
        <v>1267734.1996159207</v>
      </c>
    </row>
    <row r="251" spans="1:6" x14ac:dyDescent="0.25">
      <c r="A251" s="4">
        <v>250</v>
      </c>
      <c r="B251" s="10">
        <f t="shared" si="11"/>
        <v>1267734.1996159207</v>
      </c>
      <c r="C251" s="14">
        <f>נתונים!B43</f>
        <v>14165.964567216037</v>
      </c>
      <c r="D251" s="10">
        <f>B251*נתונים!B14/12</f>
        <v>5070.9367984636829</v>
      </c>
      <c r="E251" s="10">
        <f t="shared" si="9"/>
        <v>9095.0277687523539</v>
      </c>
      <c r="F251" s="10">
        <f t="shared" si="10"/>
        <v>1258639.1718471684</v>
      </c>
    </row>
    <row r="252" spans="1:6" x14ac:dyDescent="0.25">
      <c r="A252" s="4">
        <v>251</v>
      </c>
      <c r="B252" s="10">
        <f t="shared" si="11"/>
        <v>1258639.1718471684</v>
      </c>
      <c r="C252" s="14">
        <f>נתונים!B43</f>
        <v>14165.964567216037</v>
      </c>
      <c r="D252" s="10">
        <f>B252*נתונים!B14/12</f>
        <v>5034.5566873886737</v>
      </c>
      <c r="E252" s="10">
        <f t="shared" si="9"/>
        <v>9131.4078798273622</v>
      </c>
      <c r="F252" s="10">
        <f t="shared" si="10"/>
        <v>1249507.763967341</v>
      </c>
    </row>
    <row r="253" spans="1:6" x14ac:dyDescent="0.25">
      <c r="A253" s="4">
        <v>252</v>
      </c>
      <c r="B253" s="10">
        <f t="shared" si="11"/>
        <v>1249507.763967341</v>
      </c>
      <c r="C253" s="14">
        <f>נתונים!B43</f>
        <v>14165.964567216037</v>
      </c>
      <c r="D253" s="10">
        <f>B253*נתונים!B14/12</f>
        <v>4998.0310558693645</v>
      </c>
      <c r="E253" s="10">
        <f t="shared" si="9"/>
        <v>9167.9335113466732</v>
      </c>
      <c r="F253" s="10">
        <f t="shared" si="10"/>
        <v>1240339.8304559945</v>
      </c>
    </row>
    <row r="254" spans="1:6" x14ac:dyDescent="0.25">
      <c r="A254" s="4">
        <v>253</v>
      </c>
      <c r="B254" s="10">
        <f t="shared" si="11"/>
        <v>1240339.8304559945</v>
      </c>
      <c r="C254" s="14">
        <f>נתונים!B43</f>
        <v>14165.964567216037</v>
      </c>
      <c r="D254" s="10">
        <f>B254*נתונים!B14/12</f>
        <v>4961.3593218239776</v>
      </c>
      <c r="E254" s="10">
        <f t="shared" si="9"/>
        <v>9204.6052453920602</v>
      </c>
      <c r="F254" s="10">
        <f t="shared" si="10"/>
        <v>1231135.2252106024</v>
      </c>
    </row>
    <row r="255" spans="1:6" x14ac:dyDescent="0.25">
      <c r="A255" s="4">
        <v>254</v>
      </c>
      <c r="B255" s="10">
        <f t="shared" si="11"/>
        <v>1231135.2252106024</v>
      </c>
      <c r="C255" s="14">
        <f>נתונים!B43</f>
        <v>14165.964567216037</v>
      </c>
      <c r="D255" s="10">
        <f>B255*נתונים!B14/12</f>
        <v>4924.5409008424094</v>
      </c>
      <c r="E255" s="10">
        <f t="shared" si="9"/>
        <v>9241.4236663736265</v>
      </c>
      <c r="F255" s="10">
        <f t="shared" si="10"/>
        <v>1221893.8015442288</v>
      </c>
    </row>
    <row r="256" spans="1:6" x14ac:dyDescent="0.25">
      <c r="A256" s="4">
        <v>255</v>
      </c>
      <c r="B256" s="10">
        <f t="shared" si="11"/>
        <v>1221893.8015442288</v>
      </c>
      <c r="C256" s="14">
        <f>נתונים!B43</f>
        <v>14165.964567216037</v>
      </c>
      <c r="D256" s="10">
        <f>B256*נתונים!B14/12</f>
        <v>4887.5752061769153</v>
      </c>
      <c r="E256" s="10">
        <f t="shared" si="9"/>
        <v>9278.3893610391206</v>
      </c>
      <c r="F256" s="10">
        <f t="shared" si="10"/>
        <v>1212615.4121831898</v>
      </c>
    </row>
    <row r="257" spans="1:6" x14ac:dyDescent="0.25">
      <c r="A257" s="4">
        <v>256</v>
      </c>
      <c r="B257" s="10">
        <f t="shared" si="11"/>
        <v>1212615.4121831898</v>
      </c>
      <c r="C257" s="14">
        <f>נתונים!B43</f>
        <v>14165.964567216037</v>
      </c>
      <c r="D257" s="10">
        <f>B257*נתונים!B14/12</f>
        <v>4850.4616487327594</v>
      </c>
      <c r="E257" s="10">
        <f t="shared" si="9"/>
        <v>9315.5029184832783</v>
      </c>
      <c r="F257" s="10">
        <f t="shared" si="10"/>
        <v>1203299.9092647065</v>
      </c>
    </row>
    <row r="258" spans="1:6" x14ac:dyDescent="0.25">
      <c r="A258" s="4">
        <v>257</v>
      </c>
      <c r="B258" s="10">
        <f t="shared" si="11"/>
        <v>1203299.9092647065</v>
      </c>
      <c r="C258" s="14">
        <f>נתונים!B43</f>
        <v>14165.964567216037</v>
      </c>
      <c r="D258" s="10">
        <f>B258*נתונים!B14/12</f>
        <v>4813.1996370588267</v>
      </c>
      <c r="E258" s="10">
        <f t="shared" ref="E258:E321" si="12">C258-D258</f>
        <v>9352.7649301572092</v>
      </c>
      <c r="F258" s="10">
        <f t="shared" ref="F258:F321" si="13">B258-E258</f>
        <v>1193947.1443345493</v>
      </c>
    </row>
    <row r="259" spans="1:6" x14ac:dyDescent="0.25">
      <c r="A259" s="4">
        <v>258</v>
      </c>
      <c r="B259" s="10">
        <f t="shared" ref="B259:B322" si="14">F258</f>
        <v>1193947.1443345493</v>
      </c>
      <c r="C259" s="14">
        <f>נתונים!B43</f>
        <v>14165.964567216037</v>
      </c>
      <c r="D259" s="10">
        <f>B259*נתונים!B14/12</f>
        <v>4775.7885773381977</v>
      </c>
      <c r="E259" s="10">
        <f t="shared" si="12"/>
        <v>9390.17598987784</v>
      </c>
      <c r="F259" s="10">
        <f t="shared" si="13"/>
        <v>1184556.9683446714</v>
      </c>
    </row>
    <row r="260" spans="1:6" x14ac:dyDescent="0.25">
      <c r="A260" s="4">
        <v>259</v>
      </c>
      <c r="B260" s="10">
        <f t="shared" si="14"/>
        <v>1184556.9683446714</v>
      </c>
      <c r="C260" s="14">
        <f>נתונים!B43</f>
        <v>14165.964567216037</v>
      </c>
      <c r="D260" s="10">
        <f>B260*נתונים!B14/12</f>
        <v>4738.2278733786852</v>
      </c>
      <c r="E260" s="10">
        <f t="shared" si="12"/>
        <v>9427.7366938373525</v>
      </c>
      <c r="F260" s="10">
        <f t="shared" si="13"/>
        <v>1175129.231650834</v>
      </c>
    </row>
    <row r="261" spans="1:6" x14ac:dyDescent="0.25">
      <c r="A261" s="4">
        <v>260</v>
      </c>
      <c r="B261" s="10">
        <f t="shared" si="14"/>
        <v>1175129.231650834</v>
      </c>
      <c r="C261" s="14">
        <f>נתונים!B43</f>
        <v>14165.964567216037</v>
      </c>
      <c r="D261" s="10">
        <f>B261*נתונים!B14/12</f>
        <v>4700.5169266033363</v>
      </c>
      <c r="E261" s="10">
        <f t="shared" si="12"/>
        <v>9465.4476406126996</v>
      </c>
      <c r="F261" s="10">
        <f t="shared" si="13"/>
        <v>1165663.7840102213</v>
      </c>
    </row>
    <row r="262" spans="1:6" x14ac:dyDescent="0.25">
      <c r="A262" s="4">
        <v>261</v>
      </c>
      <c r="B262" s="10">
        <f t="shared" si="14"/>
        <v>1165663.7840102213</v>
      </c>
      <c r="C262" s="14">
        <f>נתונים!B43</f>
        <v>14165.964567216037</v>
      </c>
      <c r="D262" s="10">
        <f>B262*נתונים!B14/12</f>
        <v>4662.6551360408848</v>
      </c>
      <c r="E262" s="10">
        <f t="shared" si="12"/>
        <v>9503.309431175152</v>
      </c>
      <c r="F262" s="10">
        <f t="shared" si="13"/>
        <v>1156160.474579046</v>
      </c>
    </row>
    <row r="263" spans="1:6" x14ac:dyDescent="0.25">
      <c r="A263" s="4">
        <v>262</v>
      </c>
      <c r="B263" s="10">
        <f t="shared" si="14"/>
        <v>1156160.474579046</v>
      </c>
      <c r="C263" s="14">
        <f>נתונים!B43</f>
        <v>14165.964567216037</v>
      </c>
      <c r="D263" s="10">
        <f>B263*נתונים!B14/12</f>
        <v>4624.6418983161839</v>
      </c>
      <c r="E263" s="10">
        <f t="shared" si="12"/>
        <v>9541.3226688998529</v>
      </c>
      <c r="F263" s="10">
        <f t="shared" si="13"/>
        <v>1146619.1519101462</v>
      </c>
    </row>
    <row r="264" spans="1:6" x14ac:dyDescent="0.25">
      <c r="A264" s="4">
        <v>263</v>
      </c>
      <c r="B264" s="10">
        <f t="shared" si="14"/>
        <v>1146619.1519101462</v>
      </c>
      <c r="C264" s="14">
        <f>נתונים!B43</f>
        <v>14165.964567216037</v>
      </c>
      <c r="D264" s="10">
        <f>B264*נתונים!B14/12</f>
        <v>4586.4766076405849</v>
      </c>
      <c r="E264" s="10">
        <f t="shared" si="12"/>
        <v>9579.4879595754519</v>
      </c>
      <c r="F264" s="10">
        <f t="shared" si="13"/>
        <v>1137039.6639505709</v>
      </c>
    </row>
    <row r="265" spans="1:6" x14ac:dyDescent="0.25">
      <c r="A265" s="4">
        <v>264</v>
      </c>
      <c r="B265" s="10">
        <f t="shared" si="14"/>
        <v>1137039.6639505709</v>
      </c>
      <c r="C265" s="14">
        <f>נתונים!B43</f>
        <v>14165.964567216037</v>
      </c>
      <c r="D265" s="10">
        <f>B265*נתונים!B14/12</f>
        <v>4548.1586558022836</v>
      </c>
      <c r="E265" s="10">
        <f t="shared" si="12"/>
        <v>9617.8059114137541</v>
      </c>
      <c r="F265" s="10">
        <f t="shared" si="13"/>
        <v>1127421.858039157</v>
      </c>
    </row>
    <row r="266" spans="1:6" x14ac:dyDescent="0.25">
      <c r="A266" s="4">
        <v>265</v>
      </c>
      <c r="B266" s="10">
        <f t="shared" si="14"/>
        <v>1127421.858039157</v>
      </c>
      <c r="C266" s="14">
        <f>נתונים!B43</f>
        <v>14165.964567216037</v>
      </c>
      <c r="D266" s="10">
        <f>B266*נתונים!B14/12</f>
        <v>4509.6874321566283</v>
      </c>
      <c r="E266" s="10">
        <f t="shared" si="12"/>
        <v>9656.2771350594085</v>
      </c>
      <c r="F266" s="10">
        <f t="shared" si="13"/>
        <v>1117765.5809040975</v>
      </c>
    </row>
    <row r="267" spans="1:6" x14ac:dyDescent="0.25">
      <c r="A267" s="4">
        <v>266</v>
      </c>
      <c r="B267" s="10">
        <f t="shared" si="14"/>
        <v>1117765.5809040975</v>
      </c>
      <c r="C267" s="14">
        <f>נתונים!B43</f>
        <v>14165.964567216037</v>
      </c>
      <c r="D267" s="10">
        <f>B267*נתונים!B14/12</f>
        <v>4471.0623236163901</v>
      </c>
      <c r="E267" s="10">
        <f t="shared" si="12"/>
        <v>9694.9022435996467</v>
      </c>
      <c r="F267" s="10">
        <f t="shared" si="13"/>
        <v>1108070.6786604978</v>
      </c>
    </row>
    <row r="268" spans="1:6" x14ac:dyDescent="0.25">
      <c r="A268" s="4">
        <v>267</v>
      </c>
      <c r="B268" s="10">
        <f t="shared" si="14"/>
        <v>1108070.6786604978</v>
      </c>
      <c r="C268" s="14">
        <f>נתונים!B43</f>
        <v>14165.964567216037</v>
      </c>
      <c r="D268" s="10">
        <f>B268*נתונים!B14/12</f>
        <v>4432.2827146419913</v>
      </c>
      <c r="E268" s="10">
        <f t="shared" si="12"/>
        <v>9733.6818525740455</v>
      </c>
      <c r="F268" s="10">
        <f t="shared" si="13"/>
        <v>1098336.9968079238</v>
      </c>
    </row>
    <row r="269" spans="1:6" x14ac:dyDescent="0.25">
      <c r="A269" s="4">
        <v>268</v>
      </c>
      <c r="B269" s="10">
        <f t="shared" si="14"/>
        <v>1098336.9968079238</v>
      </c>
      <c r="C269" s="14">
        <f>נתונים!B43</f>
        <v>14165.964567216037</v>
      </c>
      <c r="D269" s="10">
        <f>B269*נתונים!B14/12</f>
        <v>4393.3479872316957</v>
      </c>
      <c r="E269" s="10">
        <f t="shared" si="12"/>
        <v>9772.6165799843402</v>
      </c>
      <c r="F269" s="10">
        <f t="shared" si="13"/>
        <v>1088564.3802279395</v>
      </c>
    </row>
    <row r="270" spans="1:6" x14ac:dyDescent="0.25">
      <c r="A270" s="4">
        <v>269</v>
      </c>
      <c r="B270" s="10">
        <f t="shared" si="14"/>
        <v>1088564.3802279395</v>
      </c>
      <c r="C270" s="14">
        <f>נתונים!B43</f>
        <v>14165.964567216037</v>
      </c>
      <c r="D270" s="10">
        <f>B270*נתונים!B14/12</f>
        <v>4354.2575209117576</v>
      </c>
      <c r="E270" s="10">
        <f t="shared" si="12"/>
        <v>9811.7070463042801</v>
      </c>
      <c r="F270" s="10">
        <f t="shared" si="13"/>
        <v>1078752.6731816351</v>
      </c>
    </row>
    <row r="271" spans="1:6" x14ac:dyDescent="0.25">
      <c r="A271" s="4">
        <v>270</v>
      </c>
      <c r="B271" s="10">
        <f t="shared" si="14"/>
        <v>1078752.6731816351</v>
      </c>
      <c r="C271" s="14">
        <f>נתונים!B43</f>
        <v>14165.964567216037</v>
      </c>
      <c r="D271" s="10">
        <f>B271*נתונים!B14/12</f>
        <v>4315.0106927265406</v>
      </c>
      <c r="E271" s="10">
        <f t="shared" si="12"/>
        <v>9850.9538744894962</v>
      </c>
      <c r="F271" s="10">
        <f t="shared" si="13"/>
        <v>1068901.7193071456</v>
      </c>
    </row>
    <row r="272" spans="1:6" x14ac:dyDescent="0.25">
      <c r="A272" s="4">
        <v>271</v>
      </c>
      <c r="B272" s="10">
        <f t="shared" si="14"/>
        <v>1068901.7193071456</v>
      </c>
      <c r="C272" s="14">
        <f>נתונים!B43</f>
        <v>14165.964567216037</v>
      </c>
      <c r="D272" s="10">
        <f>B272*נתונים!B14/12</f>
        <v>4275.6068772285826</v>
      </c>
      <c r="E272" s="10">
        <f t="shared" si="12"/>
        <v>9890.3576899874533</v>
      </c>
      <c r="F272" s="10">
        <f t="shared" si="13"/>
        <v>1059011.3616171582</v>
      </c>
    </row>
    <row r="273" spans="1:6" x14ac:dyDescent="0.25">
      <c r="A273" s="4">
        <v>272</v>
      </c>
      <c r="B273" s="10">
        <f t="shared" si="14"/>
        <v>1059011.3616171582</v>
      </c>
      <c r="C273" s="14">
        <f>נתונים!B43</f>
        <v>14165.964567216037</v>
      </c>
      <c r="D273" s="10">
        <f>B273*נתונים!B14/12</f>
        <v>4236.0454464686327</v>
      </c>
      <c r="E273" s="10">
        <f t="shared" si="12"/>
        <v>9929.9191207474032</v>
      </c>
      <c r="F273" s="10">
        <f t="shared" si="13"/>
        <v>1049081.4424964108</v>
      </c>
    </row>
    <row r="274" spans="1:6" x14ac:dyDescent="0.25">
      <c r="A274" s="4">
        <v>273</v>
      </c>
      <c r="B274" s="10">
        <f t="shared" si="14"/>
        <v>1049081.4424964108</v>
      </c>
      <c r="C274" s="14">
        <f>נתונים!B43</f>
        <v>14165.964567216037</v>
      </c>
      <c r="D274" s="10">
        <f>B274*נתונים!B14/12</f>
        <v>4196.3257699856431</v>
      </c>
      <c r="E274" s="10">
        <f t="shared" si="12"/>
        <v>9969.6387972303928</v>
      </c>
      <c r="F274" s="10">
        <f t="shared" si="13"/>
        <v>1039111.8036991804</v>
      </c>
    </row>
    <row r="275" spans="1:6" x14ac:dyDescent="0.25">
      <c r="A275" s="4">
        <v>274</v>
      </c>
      <c r="B275" s="10">
        <f t="shared" si="14"/>
        <v>1039111.8036991804</v>
      </c>
      <c r="C275" s="14">
        <f>נתונים!B43</f>
        <v>14165.964567216037</v>
      </c>
      <c r="D275" s="10">
        <f>B275*נתונים!B14/12</f>
        <v>4156.4472147967217</v>
      </c>
      <c r="E275" s="10">
        <f t="shared" si="12"/>
        <v>10009.517352419316</v>
      </c>
      <c r="F275" s="10">
        <f t="shared" si="13"/>
        <v>1029102.286346761</v>
      </c>
    </row>
    <row r="276" spans="1:6" x14ac:dyDescent="0.25">
      <c r="A276" s="4">
        <v>275</v>
      </c>
      <c r="B276" s="10">
        <f t="shared" si="14"/>
        <v>1029102.286346761</v>
      </c>
      <c r="C276" s="14">
        <f>נתונים!B43</f>
        <v>14165.964567216037</v>
      </c>
      <c r="D276" s="10">
        <f>B276*נתונים!B14/12</f>
        <v>4116.4091453870442</v>
      </c>
      <c r="E276" s="10">
        <f t="shared" si="12"/>
        <v>10049.555421828993</v>
      </c>
      <c r="F276" s="10">
        <f t="shared" si="13"/>
        <v>1019052.7309249321</v>
      </c>
    </row>
    <row r="277" spans="1:6" x14ac:dyDescent="0.25">
      <c r="A277" s="4">
        <v>276</v>
      </c>
      <c r="B277" s="10">
        <f t="shared" si="14"/>
        <v>1019052.7309249321</v>
      </c>
      <c r="C277" s="14">
        <f>נתונים!B43</f>
        <v>14165.964567216037</v>
      </c>
      <c r="D277" s="10">
        <f>B277*נתונים!B14/12</f>
        <v>4076.210923699728</v>
      </c>
      <c r="E277" s="10">
        <f t="shared" si="12"/>
        <v>10089.753643516309</v>
      </c>
      <c r="F277" s="10">
        <f t="shared" si="13"/>
        <v>1008962.9772814157</v>
      </c>
    </row>
    <row r="278" spans="1:6" x14ac:dyDescent="0.25">
      <c r="A278" s="4">
        <v>277</v>
      </c>
      <c r="B278" s="10">
        <f t="shared" si="14"/>
        <v>1008962.9772814157</v>
      </c>
      <c r="C278" s="14">
        <f>נתונים!B43</f>
        <v>14165.964567216037</v>
      </c>
      <c r="D278" s="10">
        <f>B278*נתונים!B14/12</f>
        <v>4035.8519091256626</v>
      </c>
      <c r="E278" s="10">
        <f t="shared" si="12"/>
        <v>10130.112658090375</v>
      </c>
      <c r="F278" s="10">
        <f t="shared" si="13"/>
        <v>998832.86462332529</v>
      </c>
    </row>
    <row r="279" spans="1:6" x14ac:dyDescent="0.25">
      <c r="A279" s="4">
        <v>278</v>
      </c>
      <c r="B279" s="10">
        <f t="shared" si="14"/>
        <v>998832.86462332529</v>
      </c>
      <c r="C279" s="14">
        <f>נתונים!B43</f>
        <v>14165.964567216037</v>
      </c>
      <c r="D279" s="10">
        <f>B279*נתונים!B14/12</f>
        <v>3995.3314584933014</v>
      </c>
      <c r="E279" s="10">
        <f t="shared" si="12"/>
        <v>10170.633108722735</v>
      </c>
      <c r="F279" s="10">
        <f t="shared" si="13"/>
        <v>988662.23151460255</v>
      </c>
    </row>
    <row r="280" spans="1:6" x14ac:dyDescent="0.25">
      <c r="A280" s="4">
        <v>279</v>
      </c>
      <c r="B280" s="10">
        <f t="shared" si="14"/>
        <v>988662.23151460255</v>
      </c>
      <c r="C280" s="14">
        <f>נתונים!B43</f>
        <v>14165.964567216037</v>
      </c>
      <c r="D280" s="10">
        <f>B280*נתונים!B14/12</f>
        <v>3954.6489260584099</v>
      </c>
      <c r="E280" s="10">
        <f t="shared" si="12"/>
        <v>10211.315641157627</v>
      </c>
      <c r="F280" s="10">
        <f t="shared" si="13"/>
        <v>978450.91587344487</v>
      </c>
    </row>
    <row r="281" spans="1:6" x14ac:dyDescent="0.25">
      <c r="A281" s="4">
        <v>280</v>
      </c>
      <c r="B281" s="10">
        <f t="shared" si="14"/>
        <v>978450.91587344487</v>
      </c>
      <c r="C281" s="14">
        <f>נתונים!B43</f>
        <v>14165.964567216037</v>
      </c>
      <c r="D281" s="10">
        <f>B281*נתונים!B14/12</f>
        <v>3913.8036634937798</v>
      </c>
      <c r="E281" s="10">
        <f t="shared" si="12"/>
        <v>10252.160903722257</v>
      </c>
      <c r="F281" s="10">
        <f t="shared" si="13"/>
        <v>968198.75496972259</v>
      </c>
    </row>
    <row r="282" spans="1:6" x14ac:dyDescent="0.25">
      <c r="A282" s="4">
        <v>281</v>
      </c>
      <c r="B282" s="10">
        <f t="shared" si="14"/>
        <v>968198.75496972259</v>
      </c>
      <c r="C282" s="14">
        <f>נתונים!B43</f>
        <v>14165.964567216037</v>
      </c>
      <c r="D282" s="10">
        <f>B282*נתונים!B14/12</f>
        <v>3872.7950198788908</v>
      </c>
      <c r="E282" s="10">
        <f t="shared" si="12"/>
        <v>10293.169547337146</v>
      </c>
      <c r="F282" s="10">
        <f t="shared" si="13"/>
        <v>957905.58542238548</v>
      </c>
    </row>
    <row r="283" spans="1:6" x14ac:dyDescent="0.25">
      <c r="A283" s="4">
        <v>282</v>
      </c>
      <c r="B283" s="10">
        <f t="shared" si="14"/>
        <v>957905.58542238548</v>
      </c>
      <c r="C283" s="14">
        <f>נתונים!B43</f>
        <v>14165.964567216037</v>
      </c>
      <c r="D283" s="10">
        <f>B283*נתונים!B14/12</f>
        <v>3831.6223416895423</v>
      </c>
      <c r="E283" s="10">
        <f t="shared" si="12"/>
        <v>10334.342225526494</v>
      </c>
      <c r="F283" s="10">
        <f t="shared" si="13"/>
        <v>947571.24319685902</v>
      </c>
    </row>
    <row r="284" spans="1:6" x14ac:dyDescent="0.25">
      <c r="A284" s="4">
        <v>283</v>
      </c>
      <c r="B284" s="10">
        <f t="shared" si="14"/>
        <v>947571.24319685902</v>
      </c>
      <c r="C284" s="14">
        <f>נתונים!B43</f>
        <v>14165.964567216037</v>
      </c>
      <c r="D284" s="10">
        <f>B284*נתונים!B14/12</f>
        <v>3790.2849727874363</v>
      </c>
      <c r="E284" s="10">
        <f t="shared" si="12"/>
        <v>10375.6795944286</v>
      </c>
      <c r="F284" s="10">
        <f t="shared" si="13"/>
        <v>937195.5636024304</v>
      </c>
    </row>
    <row r="285" spans="1:6" x14ac:dyDescent="0.25">
      <c r="A285" s="4">
        <v>284</v>
      </c>
      <c r="B285" s="10">
        <f t="shared" si="14"/>
        <v>937195.5636024304</v>
      </c>
      <c r="C285" s="14">
        <f>נתונים!B43</f>
        <v>14165.964567216037</v>
      </c>
      <c r="D285" s="10">
        <f>B285*נתונים!B14/12</f>
        <v>3748.7822544097216</v>
      </c>
      <c r="E285" s="10">
        <f t="shared" si="12"/>
        <v>10417.182312806315</v>
      </c>
      <c r="F285" s="10">
        <f t="shared" si="13"/>
        <v>926778.38128962403</v>
      </c>
    </row>
    <row r="286" spans="1:6" x14ac:dyDescent="0.25">
      <c r="A286" s="4">
        <v>285</v>
      </c>
      <c r="B286" s="10">
        <f t="shared" si="14"/>
        <v>926778.38128962403</v>
      </c>
      <c r="C286" s="14">
        <f>נתונים!B43</f>
        <v>14165.964567216037</v>
      </c>
      <c r="D286" s="10">
        <f>B286*נתונים!B14/12</f>
        <v>3707.1135251584965</v>
      </c>
      <c r="E286" s="10">
        <f t="shared" si="12"/>
        <v>10458.85104205754</v>
      </c>
      <c r="F286" s="10">
        <f t="shared" si="13"/>
        <v>916319.53024756652</v>
      </c>
    </row>
    <row r="287" spans="1:6" x14ac:dyDescent="0.25">
      <c r="A287" s="4">
        <v>286</v>
      </c>
      <c r="B287" s="10">
        <f t="shared" si="14"/>
        <v>916319.53024756652</v>
      </c>
      <c r="C287" s="14">
        <f>נתונים!B43</f>
        <v>14165.964567216037</v>
      </c>
      <c r="D287" s="10">
        <f>B287*נתונים!B14/12</f>
        <v>3665.278120990266</v>
      </c>
      <c r="E287" s="10">
        <f t="shared" si="12"/>
        <v>10500.686446225771</v>
      </c>
      <c r="F287" s="10">
        <f t="shared" si="13"/>
        <v>905818.84380134079</v>
      </c>
    </row>
    <row r="288" spans="1:6" x14ac:dyDescent="0.25">
      <c r="A288" s="4">
        <v>287</v>
      </c>
      <c r="B288" s="10">
        <f t="shared" si="14"/>
        <v>905818.84380134079</v>
      </c>
      <c r="C288" s="14">
        <f>נתונים!B43</f>
        <v>14165.964567216037</v>
      </c>
      <c r="D288" s="10">
        <f>B288*נתונים!B14/12</f>
        <v>3623.2753752053632</v>
      </c>
      <c r="E288" s="10">
        <f t="shared" si="12"/>
        <v>10542.689192010674</v>
      </c>
      <c r="F288" s="10">
        <f t="shared" si="13"/>
        <v>895276.15460933011</v>
      </c>
    </row>
    <row r="289" spans="1:6" x14ac:dyDescent="0.25">
      <c r="A289" s="4">
        <v>288</v>
      </c>
      <c r="B289" s="10">
        <f t="shared" si="14"/>
        <v>895276.15460933011</v>
      </c>
      <c r="C289" s="14">
        <f>נתונים!B43</f>
        <v>14165.964567216037</v>
      </c>
      <c r="D289" s="10">
        <f>B289*נתונים!B14/12</f>
        <v>3581.1046184373208</v>
      </c>
      <c r="E289" s="10">
        <f t="shared" si="12"/>
        <v>10584.859948778716</v>
      </c>
      <c r="F289" s="10">
        <f t="shared" si="13"/>
        <v>884691.29466055136</v>
      </c>
    </row>
    <row r="290" spans="1:6" x14ac:dyDescent="0.25">
      <c r="A290" s="4">
        <v>289</v>
      </c>
      <c r="B290" s="10">
        <f t="shared" si="14"/>
        <v>884691.29466055136</v>
      </c>
      <c r="C290" s="14">
        <f>נתונים!B43</f>
        <v>14165.964567216037</v>
      </c>
      <c r="D290" s="10">
        <f>B290*נתונים!B14/12</f>
        <v>3538.7651786422052</v>
      </c>
      <c r="E290" s="10">
        <f t="shared" si="12"/>
        <v>10627.199388573832</v>
      </c>
      <c r="F290" s="10">
        <f t="shared" si="13"/>
        <v>874064.09527197748</v>
      </c>
    </row>
    <row r="291" spans="1:6" x14ac:dyDescent="0.25">
      <c r="A291" s="4">
        <v>290</v>
      </c>
      <c r="B291" s="10">
        <f t="shared" si="14"/>
        <v>874064.09527197748</v>
      </c>
      <c r="C291" s="14">
        <f>נתונים!B43</f>
        <v>14165.964567216037</v>
      </c>
      <c r="D291" s="10">
        <f>B291*נתונים!B14/12</f>
        <v>3496.2563810879096</v>
      </c>
      <c r="E291" s="10">
        <f t="shared" si="12"/>
        <v>10669.708186128128</v>
      </c>
      <c r="F291" s="10">
        <f t="shared" si="13"/>
        <v>863394.3870858493</v>
      </c>
    </row>
    <row r="292" spans="1:6" x14ac:dyDescent="0.25">
      <c r="A292" s="4">
        <v>291</v>
      </c>
      <c r="B292" s="10">
        <f t="shared" si="14"/>
        <v>863394.3870858493</v>
      </c>
      <c r="C292" s="14">
        <f>נתונים!B43</f>
        <v>14165.964567216037</v>
      </c>
      <c r="D292" s="10">
        <f>B292*נתונים!B14/12</f>
        <v>3453.5775483433972</v>
      </c>
      <c r="E292" s="10">
        <f t="shared" si="12"/>
        <v>10712.38701887264</v>
      </c>
      <c r="F292" s="10">
        <f t="shared" si="13"/>
        <v>852682.00006697665</v>
      </c>
    </row>
    <row r="293" spans="1:6" x14ac:dyDescent="0.25">
      <c r="A293" s="4">
        <v>292</v>
      </c>
      <c r="B293" s="10">
        <f t="shared" si="14"/>
        <v>852682.00006697665</v>
      </c>
      <c r="C293" s="14">
        <f>נתונים!B43</f>
        <v>14165.964567216037</v>
      </c>
      <c r="D293" s="10">
        <f>B293*נתונים!B14/12</f>
        <v>3410.7280002679067</v>
      </c>
      <c r="E293" s="10">
        <f t="shared" si="12"/>
        <v>10755.23656694813</v>
      </c>
      <c r="F293" s="10">
        <f t="shared" si="13"/>
        <v>841926.76350002852</v>
      </c>
    </row>
    <row r="294" spans="1:6" x14ac:dyDescent="0.25">
      <c r="A294" s="4">
        <v>293</v>
      </c>
      <c r="B294" s="10">
        <f t="shared" si="14"/>
        <v>841926.76350002852</v>
      </c>
      <c r="C294" s="14">
        <f>נתונים!B43</f>
        <v>14165.964567216037</v>
      </c>
      <c r="D294" s="10">
        <f>B294*נתונים!B14/12</f>
        <v>3367.7070540001146</v>
      </c>
      <c r="E294" s="10">
        <f t="shared" si="12"/>
        <v>10798.257513215922</v>
      </c>
      <c r="F294" s="10">
        <f t="shared" si="13"/>
        <v>831128.50598681264</v>
      </c>
    </row>
    <row r="295" spans="1:6" x14ac:dyDescent="0.25">
      <c r="A295" s="4">
        <v>294</v>
      </c>
      <c r="B295" s="10">
        <f t="shared" si="14"/>
        <v>831128.50598681264</v>
      </c>
      <c r="C295" s="14">
        <f>נתונים!B43</f>
        <v>14165.964567216037</v>
      </c>
      <c r="D295" s="10">
        <f>B295*נתונים!B14/12</f>
        <v>3324.5140239472507</v>
      </c>
      <c r="E295" s="10">
        <f t="shared" si="12"/>
        <v>10841.450543268786</v>
      </c>
      <c r="F295" s="10">
        <f t="shared" si="13"/>
        <v>820287.05544354382</v>
      </c>
    </row>
    <row r="296" spans="1:6" x14ac:dyDescent="0.25">
      <c r="A296" s="4">
        <v>295</v>
      </c>
      <c r="B296" s="10">
        <f t="shared" si="14"/>
        <v>820287.05544354382</v>
      </c>
      <c r="C296" s="14">
        <f>נתונים!B43</f>
        <v>14165.964567216037</v>
      </c>
      <c r="D296" s="10">
        <f>B296*נתונים!B14/12</f>
        <v>3281.1482217741755</v>
      </c>
      <c r="E296" s="10">
        <f t="shared" si="12"/>
        <v>10884.816345441861</v>
      </c>
      <c r="F296" s="10">
        <f t="shared" si="13"/>
        <v>809402.23909810197</v>
      </c>
    </row>
    <row r="297" spans="1:6" x14ac:dyDescent="0.25">
      <c r="A297" s="4">
        <v>296</v>
      </c>
      <c r="B297" s="10">
        <f t="shared" si="14"/>
        <v>809402.23909810197</v>
      </c>
      <c r="C297" s="14">
        <f>נתונים!B43</f>
        <v>14165.964567216037</v>
      </c>
      <c r="D297" s="10">
        <f>B297*נתונים!B14/12</f>
        <v>3237.6089563924083</v>
      </c>
      <c r="E297" s="10">
        <f t="shared" si="12"/>
        <v>10928.355610823628</v>
      </c>
      <c r="F297" s="10">
        <f t="shared" si="13"/>
        <v>798473.88348727836</v>
      </c>
    </row>
    <row r="298" spans="1:6" x14ac:dyDescent="0.25">
      <c r="A298" s="4">
        <v>297</v>
      </c>
      <c r="B298" s="10">
        <f t="shared" si="14"/>
        <v>798473.88348727836</v>
      </c>
      <c r="C298" s="14">
        <f>נתונים!B43</f>
        <v>14165.964567216037</v>
      </c>
      <c r="D298" s="10">
        <f>B298*נתונים!B14/12</f>
        <v>3193.8955339491135</v>
      </c>
      <c r="E298" s="10">
        <f t="shared" si="12"/>
        <v>10972.069033266924</v>
      </c>
      <c r="F298" s="10">
        <f t="shared" si="13"/>
        <v>787501.81445401139</v>
      </c>
    </row>
    <row r="299" spans="1:6" x14ac:dyDescent="0.25">
      <c r="A299" s="4">
        <v>298</v>
      </c>
      <c r="B299" s="10">
        <f t="shared" si="14"/>
        <v>787501.81445401139</v>
      </c>
      <c r="C299" s="14">
        <f>נתונים!B43</f>
        <v>14165.964567216037</v>
      </c>
      <c r="D299" s="10">
        <f>B299*נתונים!B14/12</f>
        <v>3150.0072578160457</v>
      </c>
      <c r="E299" s="10">
        <f t="shared" si="12"/>
        <v>11015.957309399992</v>
      </c>
      <c r="F299" s="10">
        <f t="shared" si="13"/>
        <v>776485.85714461142</v>
      </c>
    </row>
    <row r="300" spans="1:6" x14ac:dyDescent="0.25">
      <c r="A300" s="4">
        <v>299</v>
      </c>
      <c r="B300" s="10">
        <f t="shared" si="14"/>
        <v>776485.85714461142</v>
      </c>
      <c r="C300" s="14">
        <f>נתונים!B43</f>
        <v>14165.964567216037</v>
      </c>
      <c r="D300" s="10">
        <f>B300*נתונים!B14/12</f>
        <v>3105.9434285784459</v>
      </c>
      <c r="E300" s="10">
        <f t="shared" si="12"/>
        <v>11060.02113863759</v>
      </c>
      <c r="F300" s="10">
        <f t="shared" si="13"/>
        <v>765425.83600597386</v>
      </c>
    </row>
    <row r="301" spans="1:6" x14ac:dyDescent="0.25">
      <c r="A301" s="4">
        <v>300</v>
      </c>
      <c r="B301" s="10">
        <f t="shared" si="14"/>
        <v>765425.83600597386</v>
      </c>
      <c r="C301" s="14">
        <f>נתונים!B43</f>
        <v>14165.964567216037</v>
      </c>
      <c r="D301" s="10">
        <f>B301*נתונים!B14/12</f>
        <v>3061.7033440238956</v>
      </c>
      <c r="E301" s="10">
        <f t="shared" si="12"/>
        <v>11104.261223192141</v>
      </c>
      <c r="F301" s="10">
        <f t="shared" si="13"/>
        <v>754321.57478278177</v>
      </c>
    </row>
    <row r="302" spans="1:6" x14ac:dyDescent="0.25">
      <c r="A302" s="4">
        <v>301</v>
      </c>
      <c r="B302" s="10">
        <f t="shared" si="14"/>
        <v>754321.57478278177</v>
      </c>
      <c r="C302" s="14">
        <f>נתונים!B43</f>
        <v>14165.964567216037</v>
      </c>
      <c r="D302" s="10">
        <f>B302*נתונים!B14/12</f>
        <v>3017.2862991311272</v>
      </c>
      <c r="E302" s="10">
        <f t="shared" si="12"/>
        <v>11148.67826808491</v>
      </c>
      <c r="F302" s="10">
        <f t="shared" si="13"/>
        <v>743172.89651469688</v>
      </c>
    </row>
    <row r="303" spans="1:6" x14ac:dyDescent="0.25">
      <c r="A303" s="4">
        <v>302</v>
      </c>
      <c r="B303" s="10">
        <f t="shared" si="14"/>
        <v>743172.89651469688</v>
      </c>
      <c r="C303" s="14">
        <f>נתונים!B43</f>
        <v>14165.964567216037</v>
      </c>
      <c r="D303" s="10">
        <f>B303*נתונים!B14/12</f>
        <v>2972.6915860587874</v>
      </c>
      <c r="E303" s="10">
        <f t="shared" si="12"/>
        <v>11193.27298115725</v>
      </c>
      <c r="F303" s="10">
        <f t="shared" si="13"/>
        <v>731979.62353353959</v>
      </c>
    </row>
    <row r="304" spans="1:6" x14ac:dyDescent="0.25">
      <c r="A304" s="4">
        <v>303</v>
      </c>
      <c r="B304" s="10">
        <f t="shared" si="14"/>
        <v>731979.62353353959</v>
      </c>
      <c r="C304" s="14">
        <f>נתונים!B43</f>
        <v>14165.964567216037</v>
      </c>
      <c r="D304" s="10">
        <f>B304*נתונים!B14/12</f>
        <v>2927.9184941341587</v>
      </c>
      <c r="E304" s="10">
        <f t="shared" si="12"/>
        <v>11238.046073081878</v>
      </c>
      <c r="F304" s="10">
        <f t="shared" si="13"/>
        <v>720741.57746045769</v>
      </c>
    </row>
    <row r="305" spans="1:6" x14ac:dyDescent="0.25">
      <c r="A305" s="4">
        <v>304</v>
      </c>
      <c r="B305" s="10">
        <f t="shared" si="14"/>
        <v>720741.57746045769</v>
      </c>
      <c r="C305" s="14">
        <f>נתונים!B43</f>
        <v>14165.964567216037</v>
      </c>
      <c r="D305" s="10">
        <f>B305*נתונים!B14/12</f>
        <v>2882.9663098418309</v>
      </c>
      <c r="E305" s="10">
        <f t="shared" si="12"/>
        <v>11282.998257374205</v>
      </c>
      <c r="F305" s="10">
        <f t="shared" si="13"/>
        <v>709458.57920308353</v>
      </c>
    </row>
    <row r="306" spans="1:6" x14ac:dyDescent="0.25">
      <c r="A306" s="4">
        <v>305</v>
      </c>
      <c r="B306" s="10">
        <f t="shared" si="14"/>
        <v>709458.57920308353</v>
      </c>
      <c r="C306" s="14">
        <f>נתונים!B43</f>
        <v>14165.964567216037</v>
      </c>
      <c r="D306" s="10">
        <f>B306*נתונים!B14/12</f>
        <v>2837.8343168123342</v>
      </c>
      <c r="E306" s="10">
        <f t="shared" si="12"/>
        <v>11328.130250403703</v>
      </c>
      <c r="F306" s="10">
        <f t="shared" si="13"/>
        <v>698130.44895267987</v>
      </c>
    </row>
    <row r="307" spans="1:6" x14ac:dyDescent="0.25">
      <c r="A307" s="4">
        <v>306</v>
      </c>
      <c r="B307" s="10">
        <f t="shared" si="14"/>
        <v>698130.44895267987</v>
      </c>
      <c r="C307" s="14">
        <f>נתונים!B43</f>
        <v>14165.964567216037</v>
      </c>
      <c r="D307" s="10">
        <f>B307*נתונים!B14/12</f>
        <v>2792.5217958107191</v>
      </c>
      <c r="E307" s="10">
        <f t="shared" si="12"/>
        <v>11373.442771405318</v>
      </c>
      <c r="F307" s="10">
        <f t="shared" si="13"/>
        <v>686757.00618127454</v>
      </c>
    </row>
    <row r="308" spans="1:6" x14ac:dyDescent="0.25">
      <c r="A308" s="4">
        <v>307</v>
      </c>
      <c r="B308" s="10">
        <f t="shared" si="14"/>
        <v>686757.00618127454</v>
      </c>
      <c r="C308" s="14">
        <f>נתונים!B43</f>
        <v>14165.964567216037</v>
      </c>
      <c r="D308" s="10">
        <f>B308*נתונים!B14/12</f>
        <v>2747.028024725098</v>
      </c>
      <c r="E308" s="10">
        <f t="shared" si="12"/>
        <v>11418.936542490939</v>
      </c>
      <c r="F308" s="10">
        <f t="shared" si="13"/>
        <v>675338.06963878358</v>
      </c>
    </row>
    <row r="309" spans="1:6" x14ac:dyDescent="0.25">
      <c r="A309" s="4">
        <v>308</v>
      </c>
      <c r="B309" s="10">
        <f t="shared" si="14"/>
        <v>675338.06963878358</v>
      </c>
      <c r="C309" s="14">
        <f>נתונים!B43</f>
        <v>14165.964567216037</v>
      </c>
      <c r="D309" s="10">
        <f>B309*נתונים!B14/12</f>
        <v>2701.3522785551345</v>
      </c>
      <c r="E309" s="10">
        <f t="shared" si="12"/>
        <v>11464.612288660903</v>
      </c>
      <c r="F309" s="10">
        <f t="shared" si="13"/>
        <v>663873.45735012263</v>
      </c>
    </row>
    <row r="310" spans="1:6" x14ac:dyDescent="0.25">
      <c r="A310" s="4">
        <v>309</v>
      </c>
      <c r="B310" s="10">
        <f t="shared" si="14"/>
        <v>663873.45735012263</v>
      </c>
      <c r="C310" s="14">
        <f>נתונים!B43</f>
        <v>14165.964567216037</v>
      </c>
      <c r="D310" s="10">
        <f>B310*נתונים!B14/12</f>
        <v>2655.4938294004905</v>
      </c>
      <c r="E310" s="10">
        <f t="shared" si="12"/>
        <v>11510.470737815547</v>
      </c>
      <c r="F310" s="10">
        <f t="shared" si="13"/>
        <v>652362.98661230702</v>
      </c>
    </row>
    <row r="311" spans="1:6" x14ac:dyDescent="0.25">
      <c r="A311" s="4">
        <v>310</v>
      </c>
      <c r="B311" s="10">
        <f t="shared" si="14"/>
        <v>652362.98661230702</v>
      </c>
      <c r="C311" s="14">
        <f>נתונים!B43</f>
        <v>14165.964567216037</v>
      </c>
      <c r="D311" s="10">
        <f>B311*נתונים!B14/12</f>
        <v>2609.4519464492282</v>
      </c>
      <c r="E311" s="10">
        <f t="shared" si="12"/>
        <v>11556.512620766809</v>
      </c>
      <c r="F311" s="10">
        <f t="shared" si="13"/>
        <v>640806.47399154026</v>
      </c>
    </row>
    <row r="312" spans="1:6" x14ac:dyDescent="0.25">
      <c r="A312" s="4">
        <v>311</v>
      </c>
      <c r="B312" s="10">
        <f t="shared" si="14"/>
        <v>640806.47399154026</v>
      </c>
      <c r="C312" s="14">
        <f>נתונים!B43</f>
        <v>14165.964567216037</v>
      </c>
      <c r="D312" s="10">
        <f>B312*נתונים!B14/12</f>
        <v>2563.2258959661608</v>
      </c>
      <c r="E312" s="10">
        <f t="shared" si="12"/>
        <v>11602.738671249876</v>
      </c>
      <c r="F312" s="10">
        <f t="shared" si="13"/>
        <v>629203.73532029043</v>
      </c>
    </row>
    <row r="313" spans="1:6" x14ac:dyDescent="0.25">
      <c r="A313" s="4">
        <v>312</v>
      </c>
      <c r="B313" s="10">
        <f t="shared" si="14"/>
        <v>629203.73532029043</v>
      </c>
      <c r="C313" s="14">
        <f>נתונים!B43</f>
        <v>14165.964567216037</v>
      </c>
      <c r="D313" s="10">
        <f>B313*נתונים!B14/12</f>
        <v>2516.8149412811617</v>
      </c>
      <c r="E313" s="10">
        <f t="shared" si="12"/>
        <v>11649.149625934875</v>
      </c>
      <c r="F313" s="10">
        <f t="shared" si="13"/>
        <v>617554.58569435554</v>
      </c>
    </row>
    <row r="314" spans="1:6" x14ac:dyDescent="0.25">
      <c r="A314" s="4">
        <v>313</v>
      </c>
      <c r="B314" s="10">
        <f t="shared" si="14"/>
        <v>617554.58569435554</v>
      </c>
      <c r="C314" s="14">
        <f>נתונים!B43</f>
        <v>14165.964567216037</v>
      </c>
      <c r="D314" s="10">
        <f>B314*נתונים!B14/12</f>
        <v>2470.2183427774221</v>
      </c>
      <c r="E314" s="10">
        <f t="shared" si="12"/>
        <v>11695.746224438615</v>
      </c>
      <c r="F314" s="10">
        <f t="shared" si="13"/>
        <v>605858.83946991689</v>
      </c>
    </row>
    <row r="315" spans="1:6" x14ac:dyDescent="0.25">
      <c r="A315" s="4">
        <v>314</v>
      </c>
      <c r="B315" s="10">
        <f t="shared" si="14"/>
        <v>605858.83946991689</v>
      </c>
      <c r="C315" s="14">
        <f>נתונים!B43</f>
        <v>14165.964567216037</v>
      </c>
      <c r="D315" s="10">
        <f>B315*נתונים!B14/12</f>
        <v>2423.4353578796677</v>
      </c>
      <c r="E315" s="10">
        <f t="shared" si="12"/>
        <v>11742.52920933637</v>
      </c>
      <c r="F315" s="10">
        <f t="shared" si="13"/>
        <v>594116.3102605805</v>
      </c>
    </row>
    <row r="316" spans="1:6" x14ac:dyDescent="0.25">
      <c r="A316" s="4">
        <v>315</v>
      </c>
      <c r="B316" s="10">
        <f t="shared" si="14"/>
        <v>594116.3102605805</v>
      </c>
      <c r="C316" s="14">
        <f>נתונים!B43</f>
        <v>14165.964567216037</v>
      </c>
      <c r="D316" s="10">
        <f>B316*נתונים!B14/12</f>
        <v>2376.4652410423218</v>
      </c>
      <c r="E316" s="10">
        <f t="shared" si="12"/>
        <v>11789.499326173715</v>
      </c>
      <c r="F316" s="10">
        <f t="shared" si="13"/>
        <v>582326.81093440682</v>
      </c>
    </row>
    <row r="317" spans="1:6" x14ac:dyDescent="0.25">
      <c r="A317" s="4">
        <v>316</v>
      </c>
      <c r="B317" s="10">
        <f t="shared" si="14"/>
        <v>582326.81093440682</v>
      </c>
      <c r="C317" s="14">
        <f>נתונים!B43</f>
        <v>14165.964567216037</v>
      </c>
      <c r="D317" s="10">
        <f>B317*נתונים!B14/12</f>
        <v>2329.3072437376272</v>
      </c>
      <c r="E317" s="10">
        <f t="shared" si="12"/>
        <v>11836.65732347841</v>
      </c>
      <c r="F317" s="10">
        <f t="shared" si="13"/>
        <v>570490.15361092845</v>
      </c>
    </row>
    <row r="318" spans="1:6" x14ac:dyDescent="0.25">
      <c r="A318" s="4">
        <v>317</v>
      </c>
      <c r="B318" s="10">
        <f t="shared" si="14"/>
        <v>570490.15361092845</v>
      </c>
      <c r="C318" s="14">
        <f>נתונים!B43</f>
        <v>14165.964567216037</v>
      </c>
      <c r="D318" s="10">
        <f>B318*נתונים!B14/12</f>
        <v>2281.9606144437139</v>
      </c>
      <c r="E318" s="10">
        <f t="shared" si="12"/>
        <v>11884.003952772324</v>
      </c>
      <c r="F318" s="10">
        <f t="shared" si="13"/>
        <v>558606.14965815609</v>
      </c>
    </row>
    <row r="319" spans="1:6" x14ac:dyDescent="0.25">
      <c r="A319" s="4">
        <v>318</v>
      </c>
      <c r="B319" s="10">
        <f t="shared" si="14"/>
        <v>558606.14965815609</v>
      </c>
      <c r="C319" s="14">
        <f>נתונים!B43</f>
        <v>14165.964567216037</v>
      </c>
      <c r="D319" s="10">
        <f>B319*נתונים!B14/12</f>
        <v>2234.4245986326246</v>
      </c>
      <c r="E319" s="10">
        <f t="shared" si="12"/>
        <v>11931.539968583413</v>
      </c>
      <c r="F319" s="10">
        <f t="shared" si="13"/>
        <v>546674.60968957271</v>
      </c>
    </row>
    <row r="320" spans="1:6" x14ac:dyDescent="0.25">
      <c r="A320" s="4">
        <v>319</v>
      </c>
      <c r="B320" s="10">
        <f t="shared" si="14"/>
        <v>546674.60968957271</v>
      </c>
      <c r="C320" s="14">
        <f>נתונים!B43</f>
        <v>14165.964567216037</v>
      </c>
      <c r="D320" s="10">
        <f>B320*נתונים!B14/12</f>
        <v>2186.6984387582911</v>
      </c>
      <c r="E320" s="10">
        <f t="shared" si="12"/>
        <v>11979.266128457746</v>
      </c>
      <c r="F320" s="10">
        <f t="shared" si="13"/>
        <v>534695.34356111498</v>
      </c>
    </row>
    <row r="321" spans="1:6" x14ac:dyDescent="0.25">
      <c r="A321" s="4">
        <v>320</v>
      </c>
      <c r="B321" s="10">
        <f t="shared" si="14"/>
        <v>534695.34356111498</v>
      </c>
      <c r="C321" s="14">
        <f>נתונים!B43</f>
        <v>14165.964567216037</v>
      </c>
      <c r="D321" s="10">
        <f>B321*נתונים!B14/12</f>
        <v>2138.78137424446</v>
      </c>
      <c r="E321" s="10">
        <f t="shared" si="12"/>
        <v>12027.183192971577</v>
      </c>
      <c r="F321" s="10">
        <f t="shared" si="13"/>
        <v>522668.16036814341</v>
      </c>
    </row>
    <row r="322" spans="1:6" x14ac:dyDescent="0.25">
      <c r="A322" s="4">
        <v>321</v>
      </c>
      <c r="B322" s="10">
        <f t="shared" si="14"/>
        <v>522668.16036814341</v>
      </c>
      <c r="C322" s="14">
        <f>נתונים!B43</f>
        <v>14165.964567216037</v>
      </c>
      <c r="D322" s="10">
        <f>B322*נתונים!B14/12</f>
        <v>2090.6726414725736</v>
      </c>
      <c r="E322" s="10">
        <f t="shared" ref="E322:E385" si="15">C322-D322</f>
        <v>12075.291925743462</v>
      </c>
      <c r="F322" s="10">
        <f t="shared" ref="F322:F385" si="16">B322-E322</f>
        <v>510592.86844239995</v>
      </c>
    </row>
    <row r="323" spans="1:6" x14ac:dyDescent="0.25">
      <c r="A323" s="4">
        <v>322</v>
      </c>
      <c r="B323" s="10">
        <f t="shared" ref="B323:B361" si="17">F322</f>
        <v>510592.86844239995</v>
      </c>
      <c r="C323" s="14">
        <f>נתונים!B43</f>
        <v>14165.964567216037</v>
      </c>
      <c r="D323" s="10">
        <f>B323*נתונים!B14/12</f>
        <v>2042.3714737695998</v>
      </c>
      <c r="E323" s="10">
        <f t="shared" si="15"/>
        <v>12123.593093446438</v>
      </c>
      <c r="F323" s="10">
        <f t="shared" si="16"/>
        <v>498469.2753489535</v>
      </c>
    </row>
    <row r="324" spans="1:6" x14ac:dyDescent="0.25">
      <c r="A324" s="4">
        <v>323</v>
      </c>
      <c r="B324" s="10">
        <f t="shared" si="17"/>
        <v>498469.2753489535</v>
      </c>
      <c r="C324" s="14">
        <f>נתונים!B43</f>
        <v>14165.964567216037</v>
      </c>
      <c r="D324" s="10">
        <f>B324*נתונים!B14/12</f>
        <v>1993.877101395814</v>
      </c>
      <c r="E324" s="10">
        <f t="shared" si="15"/>
        <v>12172.087465820223</v>
      </c>
      <c r="F324" s="10">
        <f t="shared" si="16"/>
        <v>486297.1878831333</v>
      </c>
    </row>
    <row r="325" spans="1:6" x14ac:dyDescent="0.25">
      <c r="A325" s="4">
        <v>324</v>
      </c>
      <c r="B325" s="10">
        <f t="shared" si="17"/>
        <v>486297.1878831333</v>
      </c>
      <c r="C325" s="14">
        <f>נתונים!B43</f>
        <v>14165.964567216037</v>
      </c>
      <c r="D325" s="10">
        <f>B325*נתונים!B14/12</f>
        <v>1945.1887515325334</v>
      </c>
      <c r="E325" s="10">
        <f t="shared" si="15"/>
        <v>12220.775815683504</v>
      </c>
      <c r="F325" s="10">
        <f t="shared" si="16"/>
        <v>474076.41206744977</v>
      </c>
    </row>
    <row r="326" spans="1:6" x14ac:dyDescent="0.25">
      <c r="A326" s="4">
        <v>325</v>
      </c>
      <c r="B326" s="10">
        <f t="shared" si="17"/>
        <v>474076.41206744977</v>
      </c>
      <c r="C326" s="14">
        <f>נתונים!B43</f>
        <v>14165.964567216037</v>
      </c>
      <c r="D326" s="10">
        <f>B326*נתונים!B14/12</f>
        <v>1896.3056482697991</v>
      </c>
      <c r="E326" s="10">
        <f t="shared" si="15"/>
        <v>12269.658918946237</v>
      </c>
      <c r="F326" s="10">
        <f t="shared" si="16"/>
        <v>461806.75314850354</v>
      </c>
    </row>
    <row r="327" spans="1:6" x14ac:dyDescent="0.25">
      <c r="A327" s="4">
        <v>326</v>
      </c>
      <c r="B327" s="10">
        <f t="shared" si="17"/>
        <v>461806.75314850354</v>
      </c>
      <c r="C327" s="14">
        <f>נתונים!B43</f>
        <v>14165.964567216037</v>
      </c>
      <c r="D327" s="10">
        <f>B327*נתונים!B14/12</f>
        <v>1847.2270125940142</v>
      </c>
      <c r="E327" s="10">
        <f t="shared" si="15"/>
        <v>12318.737554622023</v>
      </c>
      <c r="F327" s="10">
        <f t="shared" si="16"/>
        <v>449488.01559388154</v>
      </c>
    </row>
    <row r="328" spans="1:6" x14ac:dyDescent="0.25">
      <c r="A328" s="4">
        <v>327</v>
      </c>
      <c r="B328" s="10">
        <f t="shared" si="17"/>
        <v>449488.01559388154</v>
      </c>
      <c r="C328" s="14">
        <f>נתונים!B43</f>
        <v>14165.964567216037</v>
      </c>
      <c r="D328" s="10">
        <f>B328*נתונים!B14/12</f>
        <v>1797.9520623755261</v>
      </c>
      <c r="E328" s="10">
        <f t="shared" si="15"/>
        <v>12368.01250484051</v>
      </c>
      <c r="F328" s="10">
        <f t="shared" si="16"/>
        <v>437120.00308904104</v>
      </c>
    </row>
    <row r="329" spans="1:6" x14ac:dyDescent="0.25">
      <c r="A329" s="4">
        <v>328</v>
      </c>
      <c r="B329" s="10">
        <f t="shared" si="17"/>
        <v>437120.00308904104</v>
      </c>
      <c r="C329" s="14">
        <f>נתונים!B43</f>
        <v>14165.964567216037</v>
      </c>
      <c r="D329" s="10">
        <f>B329*נתונים!B14/12</f>
        <v>1748.4800123561643</v>
      </c>
      <c r="E329" s="10">
        <f t="shared" si="15"/>
        <v>12417.484554859873</v>
      </c>
      <c r="F329" s="10">
        <f t="shared" si="16"/>
        <v>424702.51853418117</v>
      </c>
    </row>
    <row r="330" spans="1:6" x14ac:dyDescent="0.25">
      <c r="A330" s="4">
        <v>329</v>
      </c>
      <c r="B330" s="10">
        <f t="shared" si="17"/>
        <v>424702.51853418117</v>
      </c>
      <c r="C330" s="14">
        <f>נתונים!B43</f>
        <v>14165.964567216037</v>
      </c>
      <c r="D330" s="10">
        <f>B330*נתונים!B14/12</f>
        <v>1698.8100741367246</v>
      </c>
      <c r="E330" s="10">
        <f t="shared" si="15"/>
        <v>12467.154493079312</v>
      </c>
      <c r="F330" s="10">
        <f t="shared" si="16"/>
        <v>412235.36404110189</v>
      </c>
    </row>
    <row r="331" spans="1:6" x14ac:dyDescent="0.25">
      <c r="A331" s="4">
        <v>330</v>
      </c>
      <c r="B331" s="10">
        <f t="shared" si="17"/>
        <v>412235.36404110189</v>
      </c>
      <c r="C331" s="14">
        <f>נתונים!B43</f>
        <v>14165.964567216037</v>
      </c>
      <c r="D331" s="10">
        <f>B331*נתונים!B14/12</f>
        <v>1648.9414561644078</v>
      </c>
      <c r="E331" s="10">
        <f t="shared" si="15"/>
        <v>12517.023111051629</v>
      </c>
      <c r="F331" s="10">
        <f t="shared" si="16"/>
        <v>399718.34093005024</v>
      </c>
    </row>
    <row r="332" spans="1:6" x14ac:dyDescent="0.25">
      <c r="A332" s="4">
        <v>331</v>
      </c>
      <c r="B332" s="10">
        <f t="shared" si="17"/>
        <v>399718.34093005024</v>
      </c>
      <c r="C332" s="14">
        <f>נתונים!B43</f>
        <v>14165.964567216037</v>
      </c>
      <c r="D332" s="10">
        <f>B332*נתונים!B14/12</f>
        <v>1598.873363720201</v>
      </c>
      <c r="E332" s="10">
        <f t="shared" si="15"/>
        <v>12567.091203495836</v>
      </c>
      <c r="F332" s="10">
        <f t="shared" si="16"/>
        <v>387151.24972655438</v>
      </c>
    </row>
    <row r="333" spans="1:6" x14ac:dyDescent="0.25">
      <c r="A333" s="4">
        <v>332</v>
      </c>
      <c r="B333" s="10">
        <f t="shared" si="17"/>
        <v>387151.24972655438</v>
      </c>
      <c r="C333" s="14">
        <f>נתונים!B43</f>
        <v>14165.964567216037</v>
      </c>
      <c r="D333" s="10">
        <f>B333*נתונים!B14/12</f>
        <v>1548.6049989062176</v>
      </c>
      <c r="E333" s="10">
        <f t="shared" si="15"/>
        <v>12617.359568309819</v>
      </c>
      <c r="F333" s="10">
        <f t="shared" si="16"/>
        <v>374533.89015824458</v>
      </c>
    </row>
    <row r="334" spans="1:6" x14ac:dyDescent="0.25">
      <c r="A334" s="4">
        <v>333</v>
      </c>
      <c r="B334" s="10">
        <f t="shared" si="17"/>
        <v>374533.89015824458</v>
      </c>
      <c r="C334" s="14">
        <f>נתונים!B43</f>
        <v>14165.964567216037</v>
      </c>
      <c r="D334" s="10">
        <f>B334*נתונים!B14/12</f>
        <v>1498.1355606329782</v>
      </c>
      <c r="E334" s="10">
        <f t="shared" si="15"/>
        <v>12667.829006583059</v>
      </c>
      <c r="F334" s="10">
        <f t="shared" si="16"/>
        <v>361866.0611516615</v>
      </c>
    </row>
    <row r="335" spans="1:6" x14ac:dyDescent="0.25">
      <c r="A335" s="4">
        <v>334</v>
      </c>
      <c r="B335" s="10">
        <f t="shared" si="17"/>
        <v>361866.0611516615</v>
      </c>
      <c r="C335" s="14">
        <f>נתונים!B43</f>
        <v>14165.964567216037</v>
      </c>
      <c r="D335" s="10">
        <f>B335*נתונים!B14/12</f>
        <v>1447.4642446066462</v>
      </c>
      <c r="E335" s="10">
        <f t="shared" si="15"/>
        <v>12718.50032260939</v>
      </c>
      <c r="F335" s="10">
        <f t="shared" si="16"/>
        <v>349147.56082905212</v>
      </c>
    </row>
    <row r="336" spans="1:6" x14ac:dyDescent="0.25">
      <c r="A336" s="4">
        <v>335</v>
      </c>
      <c r="B336" s="10">
        <f t="shared" si="17"/>
        <v>349147.56082905212</v>
      </c>
      <c r="C336" s="14">
        <f>נתונים!B43</f>
        <v>14165.964567216037</v>
      </c>
      <c r="D336" s="10">
        <f>B336*נתונים!B14/12</f>
        <v>1396.5902433162084</v>
      </c>
      <c r="E336" s="10">
        <f t="shared" si="15"/>
        <v>12769.374323899829</v>
      </c>
      <c r="F336" s="10">
        <f t="shared" si="16"/>
        <v>336378.18650515226</v>
      </c>
    </row>
    <row r="337" spans="1:6" x14ac:dyDescent="0.25">
      <c r="A337" s="4">
        <v>336</v>
      </c>
      <c r="B337" s="10">
        <f t="shared" si="17"/>
        <v>336378.18650515226</v>
      </c>
      <c r="C337" s="14">
        <f>נתונים!B43</f>
        <v>14165.964567216037</v>
      </c>
      <c r="D337" s="10">
        <f>B337*נתונים!B14/12</f>
        <v>1345.512746020609</v>
      </c>
      <c r="E337" s="10">
        <f t="shared" si="15"/>
        <v>12820.451821195427</v>
      </c>
      <c r="F337" s="10">
        <f t="shared" si="16"/>
        <v>323557.73468395683</v>
      </c>
    </row>
    <row r="338" spans="1:6" x14ac:dyDescent="0.25">
      <c r="A338" s="4">
        <v>337</v>
      </c>
      <c r="B338" s="10">
        <f t="shared" si="17"/>
        <v>323557.73468395683</v>
      </c>
      <c r="C338" s="14">
        <f>נתונים!B43</f>
        <v>14165.964567216037</v>
      </c>
      <c r="D338" s="10">
        <f>B338*נתונים!B14/12</f>
        <v>1294.2309387358273</v>
      </c>
      <c r="E338" s="10">
        <f t="shared" si="15"/>
        <v>12871.73362848021</v>
      </c>
      <c r="F338" s="10">
        <f t="shared" si="16"/>
        <v>310686.0010554766</v>
      </c>
    </row>
    <row r="339" spans="1:6" x14ac:dyDescent="0.25">
      <c r="A339" s="4">
        <v>338</v>
      </c>
      <c r="B339" s="10">
        <f t="shared" si="17"/>
        <v>310686.0010554766</v>
      </c>
      <c r="C339" s="14">
        <f>נתונים!B43</f>
        <v>14165.964567216037</v>
      </c>
      <c r="D339" s="10">
        <f>B339*נתונים!B14/12</f>
        <v>1242.7440042219064</v>
      </c>
      <c r="E339" s="10">
        <f t="shared" si="15"/>
        <v>12923.220562994131</v>
      </c>
      <c r="F339" s="10">
        <f t="shared" si="16"/>
        <v>297762.78049248247</v>
      </c>
    </row>
    <row r="340" spans="1:6" x14ac:dyDescent="0.25">
      <c r="A340" s="4">
        <v>339</v>
      </c>
      <c r="B340" s="10">
        <f t="shared" si="17"/>
        <v>297762.78049248247</v>
      </c>
      <c r="C340" s="14">
        <f>נתונים!B43</f>
        <v>14165.964567216037</v>
      </c>
      <c r="D340" s="10">
        <f>B340*נתונים!B14/12</f>
        <v>1191.0511219699299</v>
      </c>
      <c r="E340" s="10">
        <f t="shared" si="15"/>
        <v>12974.913445246108</v>
      </c>
      <c r="F340" s="10">
        <f t="shared" si="16"/>
        <v>284787.86704723636</v>
      </c>
    </row>
    <row r="341" spans="1:6" x14ac:dyDescent="0.25">
      <c r="A341" s="4">
        <v>340</v>
      </c>
      <c r="B341" s="10">
        <f t="shared" si="17"/>
        <v>284787.86704723636</v>
      </c>
      <c r="C341" s="14">
        <f>נתונים!B43</f>
        <v>14165.964567216037</v>
      </c>
      <c r="D341" s="10">
        <f>B341*נתונים!B14/12</f>
        <v>1139.1514681889455</v>
      </c>
      <c r="E341" s="10">
        <f t="shared" si="15"/>
        <v>13026.813099027091</v>
      </c>
      <c r="F341" s="10">
        <f t="shared" si="16"/>
        <v>271761.05394820927</v>
      </c>
    </row>
    <row r="342" spans="1:6" x14ac:dyDescent="0.25">
      <c r="A342" s="4">
        <v>341</v>
      </c>
      <c r="B342" s="10">
        <f t="shared" si="17"/>
        <v>271761.05394820927</v>
      </c>
      <c r="C342" s="14">
        <f>נתונים!B43</f>
        <v>14165.964567216037</v>
      </c>
      <c r="D342" s="10">
        <f>B342*נתונים!B14/12</f>
        <v>1087.0442157928371</v>
      </c>
      <c r="E342" s="10">
        <f t="shared" si="15"/>
        <v>13078.920351423199</v>
      </c>
      <c r="F342" s="10">
        <f t="shared" si="16"/>
        <v>258682.13359678607</v>
      </c>
    </row>
    <row r="343" spans="1:6" x14ac:dyDescent="0.25">
      <c r="A343" s="4">
        <v>342</v>
      </c>
      <c r="B343" s="10">
        <f t="shared" si="17"/>
        <v>258682.13359678607</v>
      </c>
      <c r="C343" s="14">
        <f>נתונים!B43</f>
        <v>14165.964567216037</v>
      </c>
      <c r="D343" s="10">
        <f>B343*נתונים!B14/12</f>
        <v>1034.7285343871442</v>
      </c>
      <c r="E343" s="10">
        <f t="shared" si="15"/>
        <v>13131.236032828892</v>
      </c>
      <c r="F343" s="10">
        <f t="shared" si="16"/>
        <v>245550.89756395717</v>
      </c>
    </row>
    <row r="344" spans="1:6" x14ac:dyDescent="0.25">
      <c r="A344" s="4">
        <v>343</v>
      </c>
      <c r="B344" s="10">
        <f t="shared" si="17"/>
        <v>245550.89756395717</v>
      </c>
      <c r="C344" s="14">
        <f>נתונים!B43</f>
        <v>14165.964567216037</v>
      </c>
      <c r="D344" s="10">
        <f>B344*נתונים!B14/12</f>
        <v>982.20359025582866</v>
      </c>
      <c r="E344" s="10">
        <f t="shared" si="15"/>
        <v>13183.760976960208</v>
      </c>
      <c r="F344" s="10">
        <f t="shared" si="16"/>
        <v>232367.13658699696</v>
      </c>
    </row>
    <row r="345" spans="1:6" x14ac:dyDescent="0.25">
      <c r="A345" s="4">
        <v>344</v>
      </c>
      <c r="B345" s="10">
        <f t="shared" si="17"/>
        <v>232367.13658699696</v>
      </c>
      <c r="C345" s="14">
        <f>נתונים!B43</f>
        <v>14165.964567216037</v>
      </c>
      <c r="D345" s="10">
        <f>B345*נתונים!B14/12</f>
        <v>929.46854634798785</v>
      </c>
      <c r="E345" s="10">
        <f t="shared" si="15"/>
        <v>13236.49602086805</v>
      </c>
      <c r="F345" s="10">
        <f t="shared" si="16"/>
        <v>219130.64056612892</v>
      </c>
    </row>
    <row r="346" spans="1:6" x14ac:dyDescent="0.25">
      <c r="A346" s="4">
        <v>345</v>
      </c>
      <c r="B346" s="10">
        <f t="shared" si="17"/>
        <v>219130.64056612892</v>
      </c>
      <c r="C346" s="14">
        <f>נתונים!B43</f>
        <v>14165.964567216037</v>
      </c>
      <c r="D346" s="10">
        <f>B346*נתונים!B14/12</f>
        <v>876.52256226451573</v>
      </c>
      <c r="E346" s="10">
        <f t="shared" si="15"/>
        <v>13289.442004951521</v>
      </c>
      <c r="F346" s="10">
        <f t="shared" si="16"/>
        <v>205841.19856117739</v>
      </c>
    </row>
    <row r="347" spans="1:6" x14ac:dyDescent="0.25">
      <c r="A347" s="4">
        <v>346</v>
      </c>
      <c r="B347" s="10">
        <f t="shared" si="17"/>
        <v>205841.19856117739</v>
      </c>
      <c r="C347" s="14">
        <f>נתונים!B43</f>
        <v>14165.964567216037</v>
      </c>
      <c r="D347" s="10">
        <f>B347*נתונים!B14/12</f>
        <v>823.36479424470963</v>
      </c>
      <c r="E347" s="10">
        <f t="shared" si="15"/>
        <v>13342.599772971327</v>
      </c>
      <c r="F347" s="10">
        <f t="shared" si="16"/>
        <v>192498.59878820606</v>
      </c>
    </row>
    <row r="348" spans="1:6" x14ac:dyDescent="0.25">
      <c r="A348" s="4">
        <v>347</v>
      </c>
      <c r="B348" s="10">
        <f t="shared" si="17"/>
        <v>192498.59878820606</v>
      </c>
      <c r="C348" s="14">
        <f>נתונים!B43</f>
        <v>14165.964567216037</v>
      </c>
      <c r="D348" s="10">
        <f>B348*נתונים!B14/12</f>
        <v>769.99439515282427</v>
      </c>
      <c r="E348" s="10">
        <f t="shared" si="15"/>
        <v>13395.970172063213</v>
      </c>
      <c r="F348" s="10">
        <f t="shared" si="16"/>
        <v>179102.62861614284</v>
      </c>
    </row>
    <row r="349" spans="1:6" x14ac:dyDescent="0.25">
      <c r="A349" s="4">
        <v>348</v>
      </c>
      <c r="B349" s="10">
        <f t="shared" si="17"/>
        <v>179102.62861614284</v>
      </c>
      <c r="C349" s="14">
        <f>נתונים!B43</f>
        <v>14165.964567216037</v>
      </c>
      <c r="D349" s="10">
        <f>B349*נתונים!B14/12</f>
        <v>716.41051446457141</v>
      </c>
      <c r="E349" s="10">
        <f t="shared" si="15"/>
        <v>13449.554052751466</v>
      </c>
      <c r="F349" s="10">
        <f t="shared" si="16"/>
        <v>165653.07456339139</v>
      </c>
    </row>
    <row r="350" spans="1:6" x14ac:dyDescent="0.25">
      <c r="A350" s="4">
        <v>349</v>
      </c>
      <c r="B350" s="10">
        <f t="shared" si="17"/>
        <v>165653.07456339139</v>
      </c>
      <c r="C350" s="14">
        <f>נתונים!B43</f>
        <v>14165.964567216037</v>
      </c>
      <c r="D350" s="10">
        <f>B350*נתונים!B14/12</f>
        <v>662.61229825356554</v>
      </c>
      <c r="E350" s="10">
        <f t="shared" si="15"/>
        <v>13503.352268962471</v>
      </c>
      <c r="F350" s="10">
        <f t="shared" si="16"/>
        <v>152149.72229442891</v>
      </c>
    </row>
    <row r="351" spans="1:6" x14ac:dyDescent="0.25">
      <c r="A351" s="4">
        <v>350</v>
      </c>
      <c r="B351" s="10">
        <f t="shared" si="17"/>
        <v>152149.72229442891</v>
      </c>
      <c r="C351" s="14">
        <f>נתונים!B43</f>
        <v>14165.964567216037</v>
      </c>
      <c r="D351" s="10">
        <f>B351*נתונים!B14/12</f>
        <v>608.59888917771571</v>
      </c>
      <c r="E351" s="10">
        <f t="shared" si="15"/>
        <v>13557.365678038321</v>
      </c>
      <c r="F351" s="10">
        <f t="shared" si="16"/>
        <v>138592.35661639058</v>
      </c>
    </row>
    <row r="352" spans="1:6" x14ac:dyDescent="0.25">
      <c r="A352" s="4">
        <v>351</v>
      </c>
      <c r="B352" s="10">
        <f t="shared" si="17"/>
        <v>138592.35661639058</v>
      </c>
      <c r="C352" s="14">
        <f>נתונים!B43</f>
        <v>14165.964567216037</v>
      </c>
      <c r="D352" s="10">
        <f>B352*נתונים!B14/12</f>
        <v>554.36942646556236</v>
      </c>
      <c r="E352" s="10">
        <f t="shared" si="15"/>
        <v>13611.595140750474</v>
      </c>
      <c r="F352" s="10">
        <f t="shared" si="16"/>
        <v>124980.7614756401</v>
      </c>
    </row>
    <row r="353" spans="1:6" x14ac:dyDescent="0.25">
      <c r="A353" s="4">
        <v>352</v>
      </c>
      <c r="B353" s="10">
        <f t="shared" si="17"/>
        <v>124980.7614756401</v>
      </c>
      <c r="C353" s="14">
        <f>נתונים!B43</f>
        <v>14165.964567216037</v>
      </c>
      <c r="D353" s="10">
        <f>B353*נתונים!B14/12</f>
        <v>499.92304590256043</v>
      </c>
      <c r="E353" s="10">
        <f t="shared" si="15"/>
        <v>13666.041521313477</v>
      </c>
      <c r="F353" s="10">
        <f t="shared" si="16"/>
        <v>111314.71995432663</v>
      </c>
    </row>
    <row r="354" spans="1:6" x14ac:dyDescent="0.25">
      <c r="A354" s="4">
        <v>353</v>
      </c>
      <c r="B354" s="10">
        <f t="shared" si="17"/>
        <v>111314.71995432663</v>
      </c>
      <c r="C354" s="14">
        <f>נתונים!B43</f>
        <v>14165.964567216037</v>
      </c>
      <c r="D354" s="10">
        <f>B354*נתונים!B14/12</f>
        <v>445.25887981730654</v>
      </c>
      <c r="E354" s="10">
        <f t="shared" si="15"/>
        <v>13720.705687398729</v>
      </c>
      <c r="F354" s="10">
        <f t="shared" si="16"/>
        <v>97594.014266927901</v>
      </c>
    </row>
    <row r="355" spans="1:6" x14ac:dyDescent="0.25">
      <c r="A355" s="4">
        <v>354</v>
      </c>
      <c r="B355" s="10">
        <f t="shared" si="17"/>
        <v>97594.014266927901</v>
      </c>
      <c r="C355" s="14">
        <f>נתונים!B43</f>
        <v>14165.964567216037</v>
      </c>
      <c r="D355" s="10">
        <f>B355*נתונים!B14/12</f>
        <v>390.3760570677116</v>
      </c>
      <c r="E355" s="10">
        <f t="shared" si="15"/>
        <v>13775.588510148325</v>
      </c>
      <c r="F355" s="10">
        <f t="shared" si="16"/>
        <v>83818.425756779572</v>
      </c>
    </row>
    <row r="356" spans="1:6" x14ac:dyDescent="0.25">
      <c r="A356" s="4">
        <v>355</v>
      </c>
      <c r="B356" s="10">
        <f t="shared" si="17"/>
        <v>83818.425756779572</v>
      </c>
      <c r="C356" s="14">
        <f>נתונים!B43</f>
        <v>14165.964567216037</v>
      </c>
      <c r="D356" s="10">
        <f>B356*נתונים!B14/12</f>
        <v>335.2737030271183</v>
      </c>
      <c r="E356" s="10">
        <f t="shared" si="15"/>
        <v>13830.690864188919</v>
      </c>
      <c r="F356" s="10">
        <f t="shared" si="16"/>
        <v>69987.734892590655</v>
      </c>
    </row>
    <row r="357" spans="1:6" x14ac:dyDescent="0.25">
      <c r="A357" s="4">
        <v>356</v>
      </c>
      <c r="B357" s="10">
        <f t="shared" si="17"/>
        <v>69987.734892590655</v>
      </c>
      <c r="C357" s="14">
        <f>נתונים!B43</f>
        <v>14165.964567216037</v>
      </c>
      <c r="D357" s="10">
        <f>B357*נתונים!B14/12</f>
        <v>279.95093957036266</v>
      </c>
      <c r="E357" s="10">
        <f t="shared" si="15"/>
        <v>13886.013627645674</v>
      </c>
      <c r="F357" s="10">
        <f t="shared" si="16"/>
        <v>56101.721264944979</v>
      </c>
    </row>
    <row r="358" spans="1:6" x14ac:dyDescent="0.25">
      <c r="A358" s="4">
        <v>357</v>
      </c>
      <c r="B358" s="10">
        <f t="shared" si="17"/>
        <v>56101.721264944979</v>
      </c>
      <c r="C358" s="14">
        <f>נתונים!B43</f>
        <v>14165.964567216037</v>
      </c>
      <c r="D358" s="10">
        <f>B358*נתונים!B14/12</f>
        <v>224.40688505977994</v>
      </c>
      <c r="E358" s="10">
        <f t="shared" si="15"/>
        <v>13941.557682156257</v>
      </c>
      <c r="F358" s="10">
        <f t="shared" si="16"/>
        <v>42160.163582788722</v>
      </c>
    </row>
    <row r="359" spans="1:6" x14ac:dyDescent="0.25">
      <c r="A359" s="4">
        <v>358</v>
      </c>
      <c r="B359" s="10">
        <f t="shared" si="17"/>
        <v>42160.163582788722</v>
      </c>
      <c r="C359" s="14">
        <f>נתונים!B43</f>
        <v>14165.964567216037</v>
      </c>
      <c r="D359" s="10">
        <f>B359*נתונים!B14/12</f>
        <v>168.64065433115488</v>
      </c>
      <c r="E359" s="10">
        <f t="shared" si="15"/>
        <v>13997.323912884882</v>
      </c>
      <c r="F359" s="10">
        <f t="shared" si="16"/>
        <v>28162.839669903842</v>
      </c>
    </row>
    <row r="360" spans="1:6" x14ac:dyDescent="0.25">
      <c r="A360" s="4">
        <v>359</v>
      </c>
      <c r="B360" s="10">
        <f t="shared" si="17"/>
        <v>28162.839669903842</v>
      </c>
      <c r="C360" s="14">
        <f>נתונים!B43</f>
        <v>14165.964567216037</v>
      </c>
      <c r="D360" s="10">
        <f>B360*נתונים!B14/12</f>
        <v>112.65135867961537</v>
      </c>
      <c r="E360" s="10">
        <f t="shared" si="15"/>
        <v>14053.313208536421</v>
      </c>
      <c r="F360" s="10">
        <f t="shared" si="16"/>
        <v>14109.526461367421</v>
      </c>
    </row>
    <row r="361" spans="1:6" x14ac:dyDescent="0.25">
      <c r="A361" s="4">
        <v>360</v>
      </c>
      <c r="B361" s="10">
        <f t="shared" si="17"/>
        <v>14109.526461367421</v>
      </c>
      <c r="C361" s="14">
        <f>נתונים!B43</f>
        <v>14165.964567216037</v>
      </c>
      <c r="D361" s="10">
        <f>B361*נתונים!B14/12</f>
        <v>56.438105845469686</v>
      </c>
      <c r="E361" s="10">
        <f t="shared" si="15"/>
        <v>14109.526461370568</v>
      </c>
      <c r="F361" s="10">
        <f t="shared" si="16"/>
        <v>-3.1468516681343317E-9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5"/>
  <sheetViews>
    <sheetView rightToLeft="1" tabSelected="1" zoomScaleNormal="100" workbookViewId="0">
      <pane ySplit="1" topLeftCell="A38" activePane="bottomLeft" state="frozen"/>
      <selection pane="bottomLeft" activeCell="K38" sqref="K38"/>
    </sheetView>
  </sheetViews>
  <sheetFormatPr defaultColWidth="8.7109375" defaultRowHeight="15" x14ac:dyDescent="0.25"/>
  <cols>
    <col min="1" max="18" width="16" customWidth="1"/>
  </cols>
  <sheetData>
    <row r="1" spans="1:18" ht="60" customHeight="1" x14ac:dyDescent="0.25">
      <c r="A1" s="15" t="s">
        <v>42</v>
      </c>
      <c r="B1" s="15" t="s">
        <v>48</v>
      </c>
      <c r="C1" s="15" t="s">
        <v>49</v>
      </c>
      <c r="D1" s="15" t="s">
        <v>50</v>
      </c>
      <c r="E1" s="15" t="s">
        <v>51</v>
      </c>
      <c r="F1" s="15" t="s">
        <v>52</v>
      </c>
      <c r="G1" s="15" t="s">
        <v>53</v>
      </c>
      <c r="H1" s="15" t="s">
        <v>54</v>
      </c>
      <c r="I1" s="15" t="s">
        <v>55</v>
      </c>
      <c r="J1" s="15" t="s">
        <v>56</v>
      </c>
      <c r="K1" s="15" t="s">
        <v>57</v>
      </c>
      <c r="L1" s="15" t="s">
        <v>58</v>
      </c>
      <c r="M1" s="15" t="s">
        <v>59</v>
      </c>
      <c r="N1" s="15" t="s">
        <v>60</v>
      </c>
      <c r="O1" s="15" t="s">
        <v>61</v>
      </c>
      <c r="P1" s="15" t="s">
        <v>62</v>
      </c>
      <c r="Q1" s="15" t="s">
        <v>63</v>
      </c>
      <c r="R1" s="15" t="s">
        <v>64</v>
      </c>
    </row>
    <row r="2" spans="1:18" x14ac:dyDescent="0.25">
      <c r="A2" s="4">
        <v>1</v>
      </c>
      <c r="B2" s="4">
        <f t="shared" ref="B2:B33" si="0">ROUNDUP(A2/12,0)</f>
        <v>1</v>
      </c>
      <c r="C2" s="14">
        <f>נתונים!B43</f>
        <v>14165.964567216037</v>
      </c>
      <c r="D2" s="14">
        <f>נתונים!B27</f>
        <v>250</v>
      </c>
      <c r="E2" s="14">
        <f>INDEX(לוח_סילוקין!$F$2:$F$361,A2)</f>
        <v>2696634.0354327839</v>
      </c>
      <c r="F2" s="14">
        <f>נתונים!$B$5*(1+נתונים!$B$6)^(A2/12)</f>
        <v>3500000</v>
      </c>
      <c r="G2" s="10">
        <f t="shared" ref="G2:G33" si="1">F2-E2</f>
        <v>803365.96456721611</v>
      </c>
      <c r="H2" s="14">
        <f>נתונים!B30*(1+נתונים!B31)^(B2-1)</f>
        <v>6500</v>
      </c>
      <c r="I2" s="14">
        <f>נתונים!B32*(1-נתונים!B33/12)*(1+נתונים!B31)^(B2-1)</f>
        <v>8385.4166666666679</v>
      </c>
      <c r="J2" s="10">
        <f>(C2+D2)-H2</f>
        <v>7915.9645672160368</v>
      </c>
      <c r="K2" s="10">
        <f>I2-H2</f>
        <v>1885.4166666666679</v>
      </c>
      <c r="L2" s="14">
        <f>נתונים!B11*(1+נתונים!B44)+J2</f>
        <v>310308.20669588714</v>
      </c>
      <c r="M2" s="14">
        <f>0*(1+נתונים!B44)+K2</f>
        <v>1885.4166666666679</v>
      </c>
      <c r="N2" s="14">
        <f>F2-(נתונים!B4+נתונים!B21)</f>
        <v>290000</v>
      </c>
      <c r="O2" s="14">
        <f>MAX(0,N2)*נתונים!B36*(1-נתונים!B37)</f>
        <v>0</v>
      </c>
      <c r="P2" s="10">
        <f t="shared" ref="P2:P33" si="2">G2-O2</f>
        <v>803365.96456721611</v>
      </c>
      <c r="Q2" s="10">
        <f t="shared" ref="Q2:Q33" si="3">G2-O2+M2</f>
        <v>805251.38123388274</v>
      </c>
      <c r="R2" s="10">
        <f t="shared" ref="R2:R33" si="4">L2</f>
        <v>310308.20669588714</v>
      </c>
    </row>
    <row r="3" spans="1:18" x14ac:dyDescent="0.25">
      <c r="A3" s="4">
        <v>2</v>
      </c>
      <c r="B3" s="4">
        <f t="shared" si="0"/>
        <v>1</v>
      </c>
      <c r="C3" s="14">
        <f>נתונים!B43</f>
        <v>14165.964567216037</v>
      </c>
      <c r="D3" s="14">
        <f>נתונים!B27</f>
        <v>250</v>
      </c>
      <c r="E3" s="14">
        <f>INDEX(לוח_סילוקין!$F$2:$F$361,A3)</f>
        <v>2693254.6070072991</v>
      </c>
      <c r="F3" s="14">
        <f>נתונים!$B$5*(1+נתונים!$B$6)^(A3/12)</f>
        <v>3500000</v>
      </c>
      <c r="G3" s="10">
        <f t="shared" si="1"/>
        <v>806745.39299270092</v>
      </c>
      <c r="H3" s="14">
        <f>נתונים!B30*(1+נתונים!B31)^(B3-1)</f>
        <v>6500</v>
      </c>
      <c r="I3" s="14">
        <f>נתונים!B32*(1-נתונים!B33/12)*(1+נתונים!B31)^(B3-1)</f>
        <v>8385.4166666666679</v>
      </c>
      <c r="J3" s="10">
        <f t="shared" ref="J2:J33" si="5">(C3+D3)-H3</f>
        <v>7915.9645672160368</v>
      </c>
      <c r="K3" s="10">
        <f t="shared" ref="K3:K66" si="6">I3-H3</f>
        <v>1885.4166666666679</v>
      </c>
      <c r="L3" s="10">
        <f>L2*(1+נתונים!B44)+J3</f>
        <v>320698.61247953749</v>
      </c>
      <c r="M3" s="10">
        <f>M2*(1+נתונים!B44)+K3</f>
        <v>3785.8679106003315</v>
      </c>
      <c r="N3" s="14">
        <f>F3-(נתונים!B4+נתונים!B21)</f>
        <v>290000</v>
      </c>
      <c r="O3" s="14">
        <f>MAX(0,N3)*נתונים!B36*(1-נתונים!B37)</f>
        <v>0</v>
      </c>
      <c r="P3" s="10">
        <f t="shared" si="2"/>
        <v>806745.39299270092</v>
      </c>
      <c r="Q3" s="10">
        <f t="shared" si="3"/>
        <v>810531.2609033013</v>
      </c>
      <c r="R3" s="10">
        <f t="shared" si="4"/>
        <v>320698.61247953749</v>
      </c>
    </row>
    <row r="4" spans="1:18" x14ac:dyDescent="0.25">
      <c r="A4" s="4">
        <v>3</v>
      </c>
      <c r="B4" s="4">
        <f t="shared" si="0"/>
        <v>1</v>
      </c>
      <c r="C4" s="14">
        <f>נתונים!B43</f>
        <v>14165.964567216037</v>
      </c>
      <c r="D4" s="14">
        <f>נתונים!B27</f>
        <v>250</v>
      </c>
      <c r="E4" s="14">
        <f>INDEX(לוח_סילוקין!$F$2:$F$361,A4)</f>
        <v>2689861.6608681125</v>
      </c>
      <c r="F4" s="14">
        <f>נתונים!$B$5*(1+נתונים!$B$6)^(A4/12)</f>
        <v>3500000</v>
      </c>
      <c r="G4" s="10">
        <f t="shared" si="1"/>
        <v>810138.33913188754</v>
      </c>
      <c r="H4" s="14">
        <f>נתונים!B30*(1+נתונים!B31)^(B4-1)</f>
        <v>6500</v>
      </c>
      <c r="I4" s="14">
        <f>נתונים!B32*(1-נתונים!B33/12)*(1+נתונים!B31)^(B4-1)</f>
        <v>8385.4166666666679</v>
      </c>
      <c r="J4" s="10">
        <f t="shared" si="5"/>
        <v>7915.9645672160368</v>
      </c>
      <c r="K4" s="10">
        <f t="shared" si="6"/>
        <v>1885.4166666666679</v>
      </c>
      <c r="L4" s="10">
        <f>L3*(1+נתונים!B44)+J4</f>
        <v>331171.87281802</v>
      </c>
      <c r="M4" s="10">
        <f>M3*(1+נתונים!B44)+K4</f>
        <v>5701.473619631407</v>
      </c>
      <c r="N4" s="14">
        <f>F4-(נתונים!B4+נתונים!B21)</f>
        <v>290000</v>
      </c>
      <c r="O4" s="14">
        <f>MAX(0,N4)*נתונים!B36*(1-נתונים!B37)</f>
        <v>0</v>
      </c>
      <c r="P4" s="10">
        <f t="shared" si="2"/>
        <v>810138.33913188754</v>
      </c>
      <c r="Q4" s="10">
        <f t="shared" si="3"/>
        <v>815839.81275151891</v>
      </c>
      <c r="R4" s="10">
        <f t="shared" si="4"/>
        <v>331171.87281802</v>
      </c>
    </row>
    <row r="5" spans="1:18" x14ac:dyDescent="0.25">
      <c r="A5" s="4">
        <v>4</v>
      </c>
      <c r="B5" s="4">
        <f t="shared" si="0"/>
        <v>1</v>
      </c>
      <c r="C5" s="14">
        <f>נתונים!B43</f>
        <v>14165.964567216037</v>
      </c>
      <c r="D5" s="14">
        <f>נתונים!B27</f>
        <v>250</v>
      </c>
      <c r="E5" s="14">
        <f>INDEX(לוח_סילוקין!$F$2:$F$361,A5)</f>
        <v>2686455.142944369</v>
      </c>
      <c r="F5" s="14">
        <f>נתונים!$B$5*(1+נתונים!$B$6)^(A5/12)</f>
        <v>3500000</v>
      </c>
      <c r="G5" s="10">
        <f t="shared" si="1"/>
        <v>813544.857055631</v>
      </c>
      <c r="H5" s="14">
        <f>נתונים!B30*(1+נתונים!B31)^(B5-1)</f>
        <v>6500</v>
      </c>
      <c r="I5" s="14">
        <f>נתונים!B32*(1-נתונים!B33/12)*(1+נתונים!B31)^(B5-1)</f>
        <v>8385.4166666666679</v>
      </c>
      <c r="J5" s="10">
        <f t="shared" si="5"/>
        <v>7915.9645672160368</v>
      </c>
      <c r="K5" s="10">
        <f t="shared" si="6"/>
        <v>1885.4166666666679</v>
      </c>
      <c r="L5" s="10">
        <f>L4*(1+נתונים!B44)+J5</f>
        <v>341728.64840518998</v>
      </c>
      <c r="M5" s="10">
        <f>M4*(1+נתונים!B44)+K5</f>
        <v>7632.3546375927062</v>
      </c>
      <c r="N5" s="14">
        <f>F5-(נתונים!B4+נתונים!B21)</f>
        <v>290000</v>
      </c>
      <c r="O5" s="14">
        <f>MAX(0,N5)*נתונים!B36*(1-נתונים!B37)</f>
        <v>0</v>
      </c>
      <c r="P5" s="10">
        <f t="shared" si="2"/>
        <v>813544.857055631</v>
      </c>
      <c r="Q5" s="10">
        <f t="shared" si="3"/>
        <v>821177.21169322368</v>
      </c>
      <c r="R5" s="10">
        <f t="shared" si="4"/>
        <v>341728.64840518998</v>
      </c>
    </row>
    <row r="6" spans="1:18" x14ac:dyDescent="0.25">
      <c r="A6" s="4">
        <v>5</v>
      </c>
      <c r="B6" s="4">
        <f t="shared" si="0"/>
        <v>1</v>
      </c>
      <c r="C6" s="14">
        <f>נתונים!B43</f>
        <v>14165.964567216037</v>
      </c>
      <c r="D6" s="14">
        <f>נתונים!B27</f>
        <v>250</v>
      </c>
      <c r="E6" s="14">
        <f>INDEX(לוח_סילוקין!$F$2:$F$361,A6)</f>
        <v>2683034.9989489303</v>
      </c>
      <c r="F6" s="14">
        <f>נתונים!$B$5*(1+נתונים!$B$6)^(A6/12)</f>
        <v>3500000</v>
      </c>
      <c r="G6" s="10">
        <f t="shared" si="1"/>
        <v>816965.0010510697</v>
      </c>
      <c r="H6" s="14">
        <f>נתונים!B30*(1+נתונים!B31)^(B6-1)</f>
        <v>6500</v>
      </c>
      <c r="I6" s="14">
        <f>נתונים!B32*(1-נתונים!B33/12)*(1+נתונים!B31)^(B6-1)</f>
        <v>8385.4166666666679</v>
      </c>
      <c r="J6" s="10">
        <f t="shared" si="5"/>
        <v>7915.9645672160368</v>
      </c>
      <c r="K6" s="10">
        <f t="shared" si="6"/>
        <v>1885.4166666666679</v>
      </c>
      <c r="L6" s="10">
        <f>L5*(1+נתונים!B44)+J6</f>
        <v>352369.60520336847</v>
      </c>
      <c r="M6" s="10">
        <f>M5*(1+נתונים!B44)+K6</f>
        <v>9578.6327719427336</v>
      </c>
      <c r="N6" s="14">
        <f>F6-(נתונים!B4+נתונים!B21)</f>
        <v>290000</v>
      </c>
      <c r="O6" s="14">
        <f>MAX(0,N6)*נתונים!B36*(1-נתונים!B37)</f>
        <v>0</v>
      </c>
      <c r="P6" s="10">
        <f t="shared" si="2"/>
        <v>816965.0010510697</v>
      </c>
      <c r="Q6" s="10">
        <f t="shared" si="3"/>
        <v>826543.63382301247</v>
      </c>
      <c r="R6" s="10">
        <f t="shared" si="4"/>
        <v>352369.60520336847</v>
      </c>
    </row>
    <row r="7" spans="1:18" x14ac:dyDescent="0.25">
      <c r="A7" s="4">
        <v>6</v>
      </c>
      <c r="B7" s="4">
        <f t="shared" si="0"/>
        <v>1</v>
      </c>
      <c r="C7" s="14">
        <f>נתונים!B43</f>
        <v>14165.964567216037</v>
      </c>
      <c r="D7" s="14">
        <f>נתונים!B27</f>
        <v>250</v>
      </c>
      <c r="E7" s="14">
        <f>INDEX(לוח_סילוקין!$F$2:$F$361,A7)</f>
        <v>2679601.1743775099</v>
      </c>
      <c r="F7" s="14">
        <f>נתונים!$B$5*(1+נתונים!$B$6)^(A7/12)</f>
        <v>3500000</v>
      </c>
      <c r="G7" s="10">
        <f t="shared" si="1"/>
        <v>820398.82562249014</v>
      </c>
      <c r="H7" s="14">
        <f>נתונים!B30*(1+נתונים!B31)^(B7-1)</f>
        <v>6500</v>
      </c>
      <c r="I7" s="14">
        <f>נתונים!B32*(1-נתונים!B33/12)*(1+נתונים!B31)^(B7-1)</f>
        <v>8385.4166666666679</v>
      </c>
      <c r="J7" s="10">
        <f t="shared" si="5"/>
        <v>7915.9645672160368</v>
      </c>
      <c r="K7" s="10">
        <f t="shared" si="6"/>
        <v>1885.4166666666679</v>
      </c>
      <c r="L7" s="10">
        <f>L6*(1+נתונים!B44)+J7</f>
        <v>363095.41448535357</v>
      </c>
      <c r="M7" s="10">
        <f>M6*(1+נתונים!B44)+K7</f>
        <v>11540.430801449773</v>
      </c>
      <c r="N7" s="14">
        <f>F7-(נתונים!B4+נתונים!B21)</f>
        <v>290000</v>
      </c>
      <c r="O7" s="14">
        <f>MAX(0,N7)*נתונים!B36*(1-נתונים!B37)</f>
        <v>0</v>
      </c>
      <c r="P7" s="10">
        <f t="shared" si="2"/>
        <v>820398.82562249014</v>
      </c>
      <c r="Q7" s="10">
        <f t="shared" si="3"/>
        <v>831939.25642393995</v>
      </c>
      <c r="R7" s="10">
        <f t="shared" si="4"/>
        <v>363095.41448535357</v>
      </c>
    </row>
    <row r="8" spans="1:18" x14ac:dyDescent="0.25">
      <c r="A8" s="4">
        <v>7</v>
      </c>
      <c r="B8" s="4">
        <f t="shared" si="0"/>
        <v>1</v>
      </c>
      <c r="C8" s="14">
        <f>נתונים!B43</f>
        <v>14165.964567216037</v>
      </c>
      <c r="D8" s="14">
        <f>נתונים!B27</f>
        <v>250</v>
      </c>
      <c r="E8" s="14">
        <f>INDEX(לוח_סילוקין!$F$2:$F$361,A8)</f>
        <v>2676153.6145078037</v>
      </c>
      <c r="F8" s="14">
        <f>נתונים!$B$5*(1+נתונים!$B$6)^(A8/12)</f>
        <v>3500000</v>
      </c>
      <c r="G8" s="10">
        <f t="shared" si="1"/>
        <v>823846.38549219631</v>
      </c>
      <c r="H8" s="14">
        <f>נתונים!B30*(1+נתונים!B31)^(B8-1)</f>
        <v>6500</v>
      </c>
      <c r="I8" s="14">
        <f>נתונים!B32*(1-נתונים!B33/12)*(1+נתונים!B31)^(B8-1)</f>
        <v>8385.4166666666679</v>
      </c>
      <c r="J8" s="10">
        <f t="shared" si="5"/>
        <v>7915.9645672160368</v>
      </c>
      <c r="K8" s="10">
        <f t="shared" si="6"/>
        <v>1885.4166666666679</v>
      </c>
      <c r="L8" s="10">
        <f>L7*(1+נתונים!B44)+J8</f>
        <v>373906.75287676684</v>
      </c>
      <c r="M8" s="10">
        <f>M7*(1+נתונים!B44)+K8</f>
        <v>13517.872483937248</v>
      </c>
      <c r="N8" s="14">
        <f>F8-(נתונים!B4+נתונים!B21)</f>
        <v>290000</v>
      </c>
      <c r="O8" s="14">
        <f>MAX(0,N8)*נתונים!B36*(1-נתונים!B37)</f>
        <v>0</v>
      </c>
      <c r="P8" s="10">
        <f t="shared" si="2"/>
        <v>823846.38549219631</v>
      </c>
      <c r="Q8" s="10">
        <f t="shared" si="3"/>
        <v>837364.25797613361</v>
      </c>
      <c r="R8" s="10">
        <f t="shared" si="4"/>
        <v>373906.75287676684</v>
      </c>
    </row>
    <row r="9" spans="1:18" x14ac:dyDescent="0.25">
      <c r="A9" s="4">
        <v>8</v>
      </c>
      <c r="B9" s="4">
        <f t="shared" si="0"/>
        <v>1</v>
      </c>
      <c r="C9" s="14">
        <f>נתונים!B43</f>
        <v>14165.964567216037</v>
      </c>
      <c r="D9" s="14">
        <f>נתונים!B27</f>
        <v>250</v>
      </c>
      <c r="E9" s="14">
        <f>INDEX(לוח_סילוקין!$F$2:$F$361,A9)</f>
        <v>2672692.2643986191</v>
      </c>
      <c r="F9" s="14">
        <f>נתונים!$B$5*(1+נתונים!$B$6)^(A9/12)</f>
        <v>3500000</v>
      </c>
      <c r="G9" s="10">
        <f t="shared" si="1"/>
        <v>827307.73560138093</v>
      </c>
      <c r="H9" s="14">
        <f>נתונים!B30*(1+נתונים!B31)^(B9-1)</f>
        <v>6500</v>
      </c>
      <c r="I9" s="14">
        <f>נתונים!B32*(1-נתונים!B33/12)*(1+נתונים!B31)^(B9-1)</f>
        <v>8385.4166666666679</v>
      </c>
      <c r="J9" s="10">
        <f t="shared" si="5"/>
        <v>7915.9645672160368</v>
      </c>
      <c r="K9" s="10">
        <f t="shared" si="6"/>
        <v>1885.4166666666679</v>
      </c>
      <c r="L9" s="10">
        <f>L8*(1+נתונים!B44)+J9</f>
        <v>384804.30239873764</v>
      </c>
      <c r="M9" s="10">
        <f>M8*(1+נתונים!B44)+K9</f>
        <v>15511.082564090846</v>
      </c>
      <c r="N9" s="14">
        <f>F9-(נתונים!B4+נתונים!B21)</f>
        <v>290000</v>
      </c>
      <c r="O9" s="14">
        <f>MAX(0,N9)*נתונים!B36*(1-נתונים!B37)</f>
        <v>0</v>
      </c>
      <c r="P9" s="10">
        <f t="shared" si="2"/>
        <v>827307.73560138093</v>
      </c>
      <c r="Q9" s="10">
        <f t="shared" si="3"/>
        <v>842818.81816547178</v>
      </c>
      <c r="R9" s="10">
        <f t="shared" si="4"/>
        <v>384804.30239873764</v>
      </c>
    </row>
    <row r="10" spans="1:18" x14ac:dyDescent="0.25">
      <c r="A10" s="4">
        <v>9</v>
      </c>
      <c r="B10" s="4">
        <f t="shared" si="0"/>
        <v>1</v>
      </c>
      <c r="C10" s="14">
        <f>נתונים!B43</f>
        <v>14165.964567216037</v>
      </c>
      <c r="D10" s="14">
        <f>נתונים!B27</f>
        <v>250</v>
      </c>
      <c r="E10" s="14">
        <f>INDEX(לוח_סילוקין!$F$2:$F$361,A10)</f>
        <v>2669217.0688889977</v>
      </c>
      <c r="F10" s="14">
        <f>נתונים!$B$5*(1+נתונים!$B$6)^(A10/12)</f>
        <v>3500000</v>
      </c>
      <c r="G10" s="10">
        <f t="shared" si="1"/>
        <v>830782.93111100234</v>
      </c>
      <c r="H10" s="14">
        <f>נתונים!B30*(1+נתונים!B31)^(B10-1)</f>
        <v>6500</v>
      </c>
      <c r="I10" s="14">
        <f>נתונים!B32*(1-נתונים!B33/12)*(1+נתונים!B31)^(B10-1)</f>
        <v>8385.4166666666679</v>
      </c>
      <c r="J10" s="10">
        <f t="shared" si="5"/>
        <v>7915.9645672160368</v>
      </c>
      <c r="K10" s="10">
        <f t="shared" si="6"/>
        <v>1885.4166666666679</v>
      </c>
      <c r="L10" s="10">
        <f>L9*(1+נתונים!B44)+J10</f>
        <v>395788.75051092758</v>
      </c>
      <c r="M10" s="10">
        <f>M9*(1+נתונים!B44)+K10</f>
        <v>17520.186781327895</v>
      </c>
      <c r="N10" s="14">
        <f>F10-(נתונים!B4+נתונים!B21)</f>
        <v>290000</v>
      </c>
      <c r="O10" s="14">
        <f>MAX(0,N10)*נתונים!B36*(1-נתונים!B37)</f>
        <v>0</v>
      </c>
      <c r="P10" s="10">
        <f t="shared" si="2"/>
        <v>830782.93111100234</v>
      </c>
      <c r="Q10" s="10">
        <f t="shared" si="3"/>
        <v>848303.11789233028</v>
      </c>
      <c r="R10" s="10">
        <f t="shared" si="4"/>
        <v>395788.75051092758</v>
      </c>
    </row>
    <row r="11" spans="1:18" x14ac:dyDescent="0.25">
      <c r="A11" s="4">
        <v>10</v>
      </c>
      <c r="B11" s="4">
        <f t="shared" si="0"/>
        <v>1</v>
      </c>
      <c r="C11" s="14">
        <f>נתונים!B43</f>
        <v>14165.964567216037</v>
      </c>
      <c r="D11" s="14">
        <f>נתונים!B27</f>
        <v>250</v>
      </c>
      <c r="E11" s="14">
        <f>INDEX(לוח_סילוקין!$F$2:$F$361,A11)</f>
        <v>2665727.9725973378</v>
      </c>
      <c r="F11" s="14">
        <f>נתונים!$B$5*(1+נתונים!$B$6)^(A11/12)</f>
        <v>3500000</v>
      </c>
      <c r="G11" s="10">
        <f t="shared" si="1"/>
        <v>834272.02740266221</v>
      </c>
      <c r="H11" s="14">
        <f>נתונים!B30*(1+נתונים!B31)^(B11-1)</f>
        <v>6500</v>
      </c>
      <c r="I11" s="14">
        <f>נתונים!B32*(1-נתונים!B33/12)*(1+נתונים!B31)^(B11-1)</f>
        <v>8385.4166666666679</v>
      </c>
      <c r="J11" s="10">
        <f t="shared" si="5"/>
        <v>7915.9645672160368</v>
      </c>
      <c r="K11" s="10">
        <f t="shared" si="6"/>
        <v>1885.4166666666679</v>
      </c>
      <c r="L11" s="10">
        <f>L10*(1+נתונים!B44)+J11</f>
        <v>406860.79015489813</v>
      </c>
      <c r="M11" s="10">
        <f>M10*(1+נתונים!B44)+K11</f>
        <v>19545.311877729495</v>
      </c>
      <c r="N11" s="14">
        <f>F11-(נתונים!B4+נתונים!B21)</f>
        <v>290000</v>
      </c>
      <c r="O11" s="14">
        <f>MAX(0,N11)*נתונים!B36*(1-נתונים!B37)</f>
        <v>0</v>
      </c>
      <c r="P11" s="10">
        <f t="shared" si="2"/>
        <v>834272.02740266221</v>
      </c>
      <c r="Q11" s="10">
        <f t="shared" si="3"/>
        <v>853817.33928039169</v>
      </c>
      <c r="R11" s="10">
        <f t="shared" si="4"/>
        <v>406860.79015489813</v>
      </c>
    </row>
    <row r="12" spans="1:18" x14ac:dyDescent="0.25">
      <c r="A12" s="4">
        <v>11</v>
      </c>
      <c r="B12" s="4">
        <f t="shared" si="0"/>
        <v>1</v>
      </c>
      <c r="C12" s="14">
        <f>נתונים!B43</f>
        <v>14165.964567216037</v>
      </c>
      <c r="D12" s="14">
        <f>נתונים!B27</f>
        <v>250</v>
      </c>
      <c r="E12" s="14">
        <f>INDEX(לוח_סילוקין!$F$2:$F$361,A12)</f>
        <v>2662224.9199205111</v>
      </c>
      <c r="F12" s="14">
        <f>נתונים!$B$5*(1+נתונים!$B$6)^(A12/12)</f>
        <v>3500000</v>
      </c>
      <c r="G12" s="10">
        <f t="shared" si="1"/>
        <v>837775.08007948892</v>
      </c>
      <c r="H12" s="14">
        <f>נתונים!B30*(1+נתונים!B31)^(B12-1)</f>
        <v>6500</v>
      </c>
      <c r="I12" s="14">
        <f>נתונים!B32*(1-נתונים!B33/12)*(1+נתונים!B31)^(B12-1)</f>
        <v>8385.4166666666679</v>
      </c>
      <c r="J12" s="10">
        <f t="shared" si="5"/>
        <v>7915.9645672160368</v>
      </c>
      <c r="K12" s="10">
        <f t="shared" si="6"/>
        <v>1885.4166666666679</v>
      </c>
      <c r="L12" s="10">
        <f>L11*(1+נתונים!B44)+J12</f>
        <v>418021.11979782407</v>
      </c>
      <c r="M12" s="10">
        <f>M11*(1+נתונים!B44)+K12</f>
        <v>21586.5856060359</v>
      </c>
      <c r="N12" s="14">
        <f>F12-(נתונים!B4+נתונים!B21)</f>
        <v>290000</v>
      </c>
      <c r="O12" s="14">
        <f>MAX(0,N12)*נתונים!B36*(1-נתונים!B37)</f>
        <v>0</v>
      </c>
      <c r="P12" s="10">
        <f t="shared" si="2"/>
        <v>837775.08007948892</v>
      </c>
      <c r="Q12" s="10">
        <f t="shared" si="3"/>
        <v>859361.66568552481</v>
      </c>
      <c r="R12" s="10">
        <f t="shared" si="4"/>
        <v>418021.11979782407</v>
      </c>
    </row>
    <row r="13" spans="1:18" x14ac:dyDescent="0.25">
      <c r="A13" s="4">
        <v>12</v>
      </c>
      <c r="B13" s="4">
        <f t="shared" si="0"/>
        <v>1</v>
      </c>
      <c r="C13" s="14">
        <f>נתונים!B43</f>
        <v>14165.964567216037</v>
      </c>
      <c r="D13" s="14">
        <f>נתונים!B27</f>
        <v>250</v>
      </c>
      <c r="E13" s="14">
        <f>INDEX(לוח_סילוקין!$F$2:$F$361,A13)</f>
        <v>2658707.8550329772</v>
      </c>
      <c r="F13" s="14">
        <f>נתונים!$B$5*(1+נתונים!$B$6)^(A13/12)</f>
        <v>3500000</v>
      </c>
      <c r="G13" s="10">
        <f>F13-E13</f>
        <v>841292.14496702282</v>
      </c>
      <c r="H13" s="14">
        <f>נתונים!B30*(1+נתונים!B31)^(B13-1)</f>
        <v>6500</v>
      </c>
      <c r="I13" s="14">
        <f>נתונים!B32*(1-נתונים!B33/12)*(1+נתונים!B31)^(B13-1)</f>
        <v>8385.4166666666679</v>
      </c>
      <c r="J13" s="10">
        <f t="shared" si="5"/>
        <v>7915.9645672160368</v>
      </c>
      <c r="K13" s="10">
        <f t="shared" si="6"/>
        <v>1885.4166666666679</v>
      </c>
      <c r="L13" s="10">
        <f>L12*(1+נתונים!B44)+J13</f>
        <v>429270.44347655558</v>
      </c>
      <c r="M13" s="10">
        <f>M12*(1+נתונים!B44)+K13</f>
        <v>23644.136737705652</v>
      </c>
      <c r="N13" s="14">
        <f>F13-(נתונים!B4+נתונים!B21)</f>
        <v>290000</v>
      </c>
      <c r="O13" s="14">
        <f>MAX(0,N13)*נתונים!B36*(1-נתונים!B37)</f>
        <v>0</v>
      </c>
      <c r="P13" s="10">
        <f>G13-O13</f>
        <v>841292.14496702282</v>
      </c>
      <c r="Q13" s="10">
        <f t="shared" si="3"/>
        <v>864936.28170472849</v>
      </c>
      <c r="R13" s="10">
        <f t="shared" si="4"/>
        <v>429270.44347655558</v>
      </c>
    </row>
    <row r="14" spans="1:18" x14ac:dyDescent="0.25">
      <c r="A14" s="4">
        <v>13</v>
      </c>
      <c r="B14" s="4">
        <f t="shared" si="0"/>
        <v>2</v>
      </c>
      <c r="C14" s="14">
        <f>נתונים!B43</f>
        <v>14165.964567216037</v>
      </c>
      <c r="D14" s="14">
        <f>נתונים!B27</f>
        <v>250</v>
      </c>
      <c r="E14" s="14">
        <f>INDEX(לוח_סילוקין!$F$2:$F$361,A14)</f>
        <v>2655176.721885893</v>
      </c>
      <c r="F14" s="14">
        <f>נתונים!$B$5*(1+נתונים!$B$6)^(A14/12)</f>
        <v>3500000</v>
      </c>
      <c r="G14" s="10">
        <f t="shared" si="1"/>
        <v>844823.27811410697</v>
      </c>
      <c r="H14" s="14">
        <f>נתונים!B30*(1+נתונים!B31)^(B14-1)</f>
        <v>6630</v>
      </c>
      <c r="I14" s="14">
        <f>נתונים!B32*(1-נתונים!B33/12)*(1+נתונים!B31)^(B14-1)</f>
        <v>8553.1250000000018</v>
      </c>
      <c r="J14" s="10">
        <f t="shared" si="5"/>
        <v>7785.9645672160368</v>
      </c>
      <c r="K14" s="10">
        <f t="shared" si="6"/>
        <v>1923.1250000000018</v>
      </c>
      <c r="L14" s="10">
        <f>L13*(1+נתונים!B44)+J14</f>
        <v>440479.47084203147</v>
      </c>
      <c r="M14" s="10">
        <f>M13*(1+נתונים!B44)+K14</f>
        <v>25755.803404372324</v>
      </c>
      <c r="N14" s="14">
        <f>F14-(נתונים!B4+נתונים!B21)</f>
        <v>290000</v>
      </c>
      <c r="O14" s="14">
        <f>MAX(0,N14)*נתונים!B36*(1-נתונים!B37)</f>
        <v>0</v>
      </c>
      <c r="P14" s="10">
        <f t="shared" si="2"/>
        <v>844823.27811410697</v>
      </c>
      <c r="Q14" s="10">
        <f t="shared" si="3"/>
        <v>870579.08151847927</v>
      </c>
      <c r="R14" s="10">
        <f t="shared" si="4"/>
        <v>440479.47084203147</v>
      </c>
    </row>
    <row r="15" spans="1:18" x14ac:dyDescent="0.25">
      <c r="A15" s="4">
        <v>14</v>
      </c>
      <c r="B15" s="4">
        <f t="shared" si="0"/>
        <v>2</v>
      </c>
      <c r="C15" s="14">
        <f>נתונים!B43</f>
        <v>14165.964567216037</v>
      </c>
      <c r="D15" s="14">
        <f>נתונים!B27</f>
        <v>250</v>
      </c>
      <c r="E15" s="14">
        <f>INDEX(לוח_סילוקין!$F$2:$F$361,A15)</f>
        <v>2651631.4642062206</v>
      </c>
      <c r="F15" s="14">
        <f>נתונים!$B$5*(1+נתונים!$B$6)^(A15/12)</f>
        <v>3500000</v>
      </c>
      <c r="G15" s="10">
        <f t="shared" si="1"/>
        <v>848368.53579377942</v>
      </c>
      <c r="H15" s="14">
        <f>נתונים!B30*(1+נתונים!B31)^(B15-1)</f>
        <v>6630</v>
      </c>
      <c r="I15" s="14">
        <f>נתונים!B32*(1-נתונים!B33/12)*(1+נתונים!B31)^(B15-1)</f>
        <v>8553.1250000000018</v>
      </c>
      <c r="J15" s="10">
        <f t="shared" si="5"/>
        <v>7785.9645672160368</v>
      </c>
      <c r="K15" s="10">
        <f t="shared" si="6"/>
        <v>1923.1250000000018</v>
      </c>
      <c r="L15" s="10">
        <f>L14*(1+נתונים!B44)+J15</f>
        <v>451777.8805657911</v>
      </c>
      <c r="M15" s="10">
        <f>M14*(1+נתונים!B44)+K15</f>
        <v>27884.308797578029</v>
      </c>
      <c r="N15" s="14">
        <f>F15-(נתונים!B4+נתונים!B21)</f>
        <v>290000</v>
      </c>
      <c r="O15" s="14">
        <f>MAX(0,N15)*נתונים!B36*(1-נתונים!B37)</f>
        <v>0</v>
      </c>
      <c r="P15" s="10">
        <f t="shared" si="2"/>
        <v>848368.53579377942</v>
      </c>
      <c r="Q15" s="10">
        <f t="shared" si="3"/>
        <v>876252.8445913574</v>
      </c>
      <c r="R15" s="10">
        <f t="shared" si="4"/>
        <v>451777.8805657911</v>
      </c>
    </row>
    <row r="16" spans="1:18" x14ac:dyDescent="0.25">
      <c r="A16" s="4">
        <v>15</v>
      </c>
      <c r="B16" s="4">
        <f t="shared" si="0"/>
        <v>2</v>
      </c>
      <c r="C16" s="14">
        <f>נתונים!B43</f>
        <v>14165.964567216037</v>
      </c>
      <c r="D16" s="14">
        <f>נתונים!B27</f>
        <v>250</v>
      </c>
      <c r="E16" s="14">
        <f>INDEX(לוח_סילוקין!$F$2:$F$361,A16)</f>
        <v>2648072.0254958295</v>
      </c>
      <c r="F16" s="14">
        <f>נתונים!$B$5*(1+נתונים!$B$6)^(A16/12)</f>
        <v>3500000</v>
      </c>
      <c r="G16" s="10">
        <f t="shared" si="1"/>
        <v>851927.97450417047</v>
      </c>
      <c r="H16" s="14">
        <f>נתונים!B30*(1+נתונים!B31)^(B16-1)</f>
        <v>6630</v>
      </c>
      <c r="I16" s="14">
        <f>נתונים!B32*(1-נתונים!B33/12)*(1+נתונים!B31)^(B16-1)</f>
        <v>8553.1250000000018</v>
      </c>
      <c r="J16" s="10">
        <f t="shared" si="5"/>
        <v>7785.9645672160368</v>
      </c>
      <c r="K16" s="10">
        <f t="shared" si="6"/>
        <v>1923.1250000000018</v>
      </c>
      <c r="L16" s="10">
        <f>L15*(1+נתונים!B44)+J16</f>
        <v>463166.38539531128</v>
      </c>
      <c r="M16" s="10">
        <f>M15*(1+נתונים!B44)+K16</f>
        <v>30029.787191692834</v>
      </c>
      <c r="N16" s="14">
        <f>F16-(נתונים!B4+נתונים!B21)</f>
        <v>290000</v>
      </c>
      <c r="O16" s="14">
        <f>MAX(0,N16)*נתונים!B36*(1-נתונים!B37)</f>
        <v>0</v>
      </c>
      <c r="P16" s="10">
        <f t="shared" si="2"/>
        <v>851927.97450417047</v>
      </c>
      <c r="Q16" s="10">
        <f t="shared" si="3"/>
        <v>881957.76169586333</v>
      </c>
      <c r="R16" s="10">
        <f t="shared" si="4"/>
        <v>463166.38539531128</v>
      </c>
    </row>
    <row r="17" spans="1:18" x14ac:dyDescent="0.25">
      <c r="A17" s="4">
        <v>16</v>
      </c>
      <c r="B17" s="4">
        <f t="shared" si="0"/>
        <v>2</v>
      </c>
      <c r="C17" s="14">
        <f>נתונים!B43</f>
        <v>14165.964567216037</v>
      </c>
      <c r="D17" s="14">
        <f>נתונים!B27</f>
        <v>250</v>
      </c>
      <c r="E17" s="14">
        <f>INDEX(לוח_סילוקין!$F$2:$F$361,A17)</f>
        <v>2644498.3490305967</v>
      </c>
      <c r="F17" s="14">
        <f>נתונים!$B$5*(1+נתונים!$B$6)^(A17/12)</f>
        <v>3500000</v>
      </c>
      <c r="G17" s="10">
        <f t="shared" si="1"/>
        <v>855501.65096940333</v>
      </c>
      <c r="H17" s="14">
        <f>נתונים!B30*(1+נתונים!B31)^(B17-1)</f>
        <v>6630</v>
      </c>
      <c r="I17" s="14">
        <f>נתונים!B32*(1-נתונים!B33/12)*(1+נתונים!B31)^(B17-1)</f>
        <v>8553.1250000000018</v>
      </c>
      <c r="J17" s="10">
        <f t="shared" si="5"/>
        <v>7785.9645672160368</v>
      </c>
      <c r="K17" s="10">
        <f t="shared" si="6"/>
        <v>1923.1250000000018</v>
      </c>
      <c r="L17" s="10">
        <f>L16*(1+נתונים!B44)+J17</f>
        <v>474645.7037616173</v>
      </c>
      <c r="M17" s="10">
        <f>M16*(1+נתונים!B44)+K17</f>
        <v>32192.373931809489</v>
      </c>
      <c r="N17" s="14">
        <f>F17-(נתונים!B4+נתונים!B21)</f>
        <v>290000</v>
      </c>
      <c r="O17" s="14">
        <f>MAX(0,N17)*נתונים!B36*(1-נתונים!B37)</f>
        <v>0</v>
      </c>
      <c r="P17" s="10">
        <f t="shared" si="2"/>
        <v>855501.65096940333</v>
      </c>
      <c r="Q17" s="10">
        <f t="shared" si="3"/>
        <v>887694.02490121278</v>
      </c>
      <c r="R17" s="10">
        <f t="shared" si="4"/>
        <v>474645.7037616173</v>
      </c>
    </row>
    <row r="18" spans="1:18" x14ac:dyDescent="0.25">
      <c r="A18" s="4">
        <v>17</v>
      </c>
      <c r="B18" s="4">
        <f t="shared" si="0"/>
        <v>2</v>
      </c>
      <c r="C18" s="14">
        <f>נתונים!B43</f>
        <v>14165.964567216037</v>
      </c>
      <c r="D18" s="14">
        <f>נתונים!B27</f>
        <v>250</v>
      </c>
      <c r="E18" s="14">
        <f>INDEX(לוח_סילוקין!$F$2:$F$361,A18)</f>
        <v>2640910.377859503</v>
      </c>
      <c r="F18" s="14">
        <f>נתונים!$B$5*(1+נתונים!$B$6)^(A18/12)</f>
        <v>3500000</v>
      </c>
      <c r="G18" s="10">
        <f t="shared" si="1"/>
        <v>859089.62214049697</v>
      </c>
      <c r="H18" s="14">
        <f>נתונים!B30*(1+נתונים!B31)^(B18-1)</f>
        <v>6630</v>
      </c>
      <c r="I18" s="14">
        <f>נתונים!B32*(1-נתונים!B33/12)*(1+נתונים!B31)^(B18-1)</f>
        <v>8553.1250000000018</v>
      </c>
      <c r="J18" s="10">
        <f t="shared" si="5"/>
        <v>7785.9645672160368</v>
      </c>
      <c r="K18" s="10">
        <f t="shared" si="6"/>
        <v>1923.1250000000018</v>
      </c>
      <c r="L18" s="10">
        <f>L17*(1+נתונים!B44)+J18</f>
        <v>486216.55982460437</v>
      </c>
      <c r="M18" s="10">
        <f>M17*(1+נתונים!B44)+K18</f>
        <v>34372.20544228152</v>
      </c>
      <c r="N18" s="14">
        <f>F18-(נתונים!B4+נתונים!B21)</f>
        <v>290000</v>
      </c>
      <c r="O18" s="14">
        <f>MAX(0,N18)*נתונים!B36*(1-נתונים!B37)</f>
        <v>0</v>
      </c>
      <c r="P18" s="10">
        <f t="shared" si="2"/>
        <v>859089.62214049697</v>
      </c>
      <c r="Q18" s="10">
        <f t="shared" si="3"/>
        <v>893461.82758277853</v>
      </c>
      <c r="R18" s="10">
        <f t="shared" si="4"/>
        <v>486216.55982460437</v>
      </c>
    </row>
    <row r="19" spans="1:18" x14ac:dyDescent="0.25">
      <c r="A19" s="4">
        <v>18</v>
      </c>
      <c r="B19" s="4">
        <f t="shared" si="0"/>
        <v>2</v>
      </c>
      <c r="C19" s="14">
        <f>נתונים!B43</f>
        <v>14165.964567216037</v>
      </c>
      <c r="D19" s="14">
        <f>נתונים!B27</f>
        <v>250</v>
      </c>
      <c r="E19" s="14">
        <f>INDEX(לוח_סילוקין!$F$2:$F$361,A19)</f>
        <v>2637308.0548037249</v>
      </c>
      <c r="F19" s="14">
        <f>נתונים!$B$5*(1+נתונים!$B$6)^(A19/12)</f>
        <v>3500000</v>
      </c>
      <c r="G19" s="10">
        <f t="shared" si="1"/>
        <v>862691.94519627513</v>
      </c>
      <c r="H19" s="14">
        <f>נתונים!B30*(1+נתונים!B31)^(B19-1)</f>
        <v>6630</v>
      </c>
      <c r="I19" s="14">
        <f>נתונים!B32*(1-נתונים!B33/12)*(1+נתונים!B31)^(B19-1)</f>
        <v>8553.1250000000018</v>
      </c>
      <c r="J19" s="10">
        <f t="shared" si="5"/>
        <v>7785.9645672160368</v>
      </c>
      <c r="K19" s="10">
        <f t="shared" si="6"/>
        <v>1923.1250000000018</v>
      </c>
      <c r="L19" s="10">
        <f>L18*(1+נתונים!B44)+J19</f>
        <v>497879.68351872033</v>
      </c>
      <c r="M19" s="10">
        <f>M18*(1+נתונים!B44)+K19</f>
        <v>36569.419235329406</v>
      </c>
      <c r="N19" s="14">
        <f>F19-(נתונים!B4+נתונים!B21)</f>
        <v>290000</v>
      </c>
      <c r="O19" s="14">
        <f>MAX(0,N19)*נתונים!B36*(1-נתונים!B37)</f>
        <v>0</v>
      </c>
      <c r="P19" s="10">
        <f t="shared" si="2"/>
        <v>862691.94519627513</v>
      </c>
      <c r="Q19" s="10">
        <f t="shared" si="3"/>
        <v>899261.36443160451</v>
      </c>
      <c r="R19" s="10">
        <f t="shared" si="4"/>
        <v>497879.68351872033</v>
      </c>
    </row>
    <row r="20" spans="1:18" x14ac:dyDescent="0.25">
      <c r="A20" s="4">
        <v>19</v>
      </c>
      <c r="B20" s="4">
        <f t="shared" si="0"/>
        <v>2</v>
      </c>
      <c r="C20" s="14">
        <f>נתונים!B43</f>
        <v>14165.964567216037</v>
      </c>
      <c r="D20" s="14">
        <f>נתונים!B27</f>
        <v>250</v>
      </c>
      <c r="E20" s="14">
        <f>INDEX(לוח_סילוקין!$F$2:$F$361,A20)</f>
        <v>2633691.3224557238</v>
      </c>
      <c r="F20" s="14">
        <f>נתונים!$B$5*(1+נתונים!$B$6)^(A20/12)</f>
        <v>3500000</v>
      </c>
      <c r="G20" s="10">
        <f t="shared" si="1"/>
        <v>866308.67754427623</v>
      </c>
      <c r="H20" s="14">
        <f>נתונים!B30*(1+נתונים!B31)^(B20-1)</f>
        <v>6630</v>
      </c>
      <c r="I20" s="14">
        <f>נתונים!B32*(1-נתונים!B33/12)*(1+נתונים!B31)^(B20-1)</f>
        <v>8553.1250000000018</v>
      </c>
      <c r="J20" s="10">
        <f t="shared" si="5"/>
        <v>7785.9645672160368</v>
      </c>
      <c r="K20" s="10">
        <f t="shared" si="6"/>
        <v>1923.1250000000018</v>
      </c>
      <c r="L20" s="10">
        <f>L19*(1+נתונים!B44)+J20</f>
        <v>509635.81059901282</v>
      </c>
      <c r="M20" s="10">
        <f>M19*(1+נתונים!B44)+K20</f>
        <v>38784.153919715376</v>
      </c>
      <c r="N20" s="14">
        <f>F20-(נתונים!B4+נתונים!B21)</f>
        <v>290000</v>
      </c>
      <c r="O20" s="14">
        <f>MAX(0,N20)*נתונים!B36*(1-נתונים!B37)</f>
        <v>0</v>
      </c>
      <c r="P20" s="10">
        <f t="shared" si="2"/>
        <v>866308.67754427623</v>
      </c>
      <c r="Q20" s="10">
        <f t="shared" si="3"/>
        <v>905092.83146399166</v>
      </c>
      <c r="R20" s="10">
        <f t="shared" si="4"/>
        <v>509635.81059901282</v>
      </c>
    </row>
    <row r="21" spans="1:18" x14ac:dyDescent="0.25">
      <c r="A21" s="4">
        <v>20</v>
      </c>
      <c r="B21" s="4">
        <f t="shared" si="0"/>
        <v>2</v>
      </c>
      <c r="C21" s="14">
        <f>נתונים!B43</f>
        <v>14165.964567216037</v>
      </c>
      <c r="D21" s="14">
        <f>נתונים!B27</f>
        <v>250</v>
      </c>
      <c r="E21" s="14">
        <f>INDEX(לוח_סילוקין!$F$2:$F$361,A21)</f>
        <v>2630060.1231783307</v>
      </c>
      <c r="F21" s="14">
        <f>נתונים!$B$5*(1+נתונים!$B$6)^(A21/12)</f>
        <v>3500000</v>
      </c>
      <c r="G21" s="10">
        <f t="shared" si="1"/>
        <v>869939.87682166928</v>
      </c>
      <c r="H21" s="14">
        <f>נתונים!B30*(1+נתונים!B31)^(B21-1)</f>
        <v>6630</v>
      </c>
      <c r="I21" s="14">
        <f>נתונים!B32*(1-נתונים!B33/12)*(1+נתונים!B31)^(B21-1)</f>
        <v>8553.1250000000018</v>
      </c>
      <c r="J21" s="10">
        <f t="shared" si="5"/>
        <v>7785.9645672160368</v>
      </c>
      <c r="K21" s="10">
        <f t="shared" si="6"/>
        <v>1923.1250000000018</v>
      </c>
      <c r="L21" s="10">
        <f>L20*(1+נתונים!B44)+J21</f>
        <v>521485.68268754362</v>
      </c>
      <c r="M21" s="10">
        <f>M20*(1+נתונים!B44)+K21</f>
        <v>41016.549209487406</v>
      </c>
      <c r="N21" s="14">
        <f>F21-(נתונים!B4+נתונים!B21)</f>
        <v>290000</v>
      </c>
      <c r="O21" s="14">
        <f>MAX(0,N21)*נתונים!B36*(1-נתונים!B37)</f>
        <v>0</v>
      </c>
      <c r="P21" s="10">
        <f t="shared" si="2"/>
        <v>869939.87682166928</v>
      </c>
      <c r="Q21" s="10">
        <f t="shared" si="3"/>
        <v>910956.42603115668</v>
      </c>
      <c r="R21" s="10">
        <f t="shared" si="4"/>
        <v>521485.68268754362</v>
      </c>
    </row>
    <row r="22" spans="1:18" x14ac:dyDescent="0.25">
      <c r="A22" s="4">
        <v>21</v>
      </c>
      <c r="B22" s="4">
        <f t="shared" si="0"/>
        <v>2</v>
      </c>
      <c r="C22" s="14">
        <f>נתונים!B43</f>
        <v>14165.964567216037</v>
      </c>
      <c r="D22" s="14">
        <f>נתונים!B27</f>
        <v>250</v>
      </c>
      <c r="E22" s="14">
        <f>INDEX(לוח_סילוקין!$F$2:$F$361,A22)</f>
        <v>2626414.3991038278</v>
      </c>
      <c r="F22" s="14">
        <f>נתונים!$B$5*(1+נתונים!$B$6)^(A22/12)</f>
        <v>3500000</v>
      </c>
      <c r="G22" s="10">
        <f t="shared" si="1"/>
        <v>873585.60089617223</v>
      </c>
      <c r="H22" s="14">
        <f>נתונים!B30*(1+נתונים!B31)^(B22-1)</f>
        <v>6630</v>
      </c>
      <c r="I22" s="14">
        <f>נתונים!B32*(1-נתונים!B33/12)*(1+נתונים!B31)^(B22-1)</f>
        <v>8553.1250000000018</v>
      </c>
      <c r="J22" s="10">
        <f t="shared" si="5"/>
        <v>7785.9645672160368</v>
      </c>
      <c r="K22" s="10">
        <f t="shared" si="6"/>
        <v>1923.1250000000018</v>
      </c>
      <c r="L22" s="10">
        <f>L21*(1+נתונים!B44)+J22</f>
        <v>533430.04732017289</v>
      </c>
      <c r="M22" s="10">
        <f>M21*(1+נתונים!B44)+K22</f>
        <v>43266.745932792903</v>
      </c>
      <c r="N22" s="14">
        <f>F22-(נתונים!B4+נתונים!B21)</f>
        <v>290000</v>
      </c>
      <c r="O22" s="14">
        <f>MAX(0,N22)*נתונים!B36*(1-נתונים!B37)</f>
        <v>0</v>
      </c>
      <c r="P22" s="10">
        <f t="shared" si="2"/>
        <v>873585.60089617223</v>
      </c>
      <c r="Q22" s="10">
        <f t="shared" si="3"/>
        <v>916852.34682896512</v>
      </c>
      <c r="R22" s="10">
        <f t="shared" si="4"/>
        <v>533430.04732017289</v>
      </c>
    </row>
    <row r="23" spans="1:18" x14ac:dyDescent="0.25">
      <c r="A23" s="4">
        <v>22</v>
      </c>
      <c r="B23" s="4">
        <f t="shared" si="0"/>
        <v>2</v>
      </c>
      <c r="C23" s="14">
        <f>נתונים!B43</f>
        <v>14165.964567216037</v>
      </c>
      <c r="D23" s="14">
        <f>נתונים!B27</f>
        <v>250</v>
      </c>
      <c r="E23" s="14">
        <f>INDEX(לוח_סילוקין!$F$2:$F$361,A23)</f>
        <v>2622754.092133027</v>
      </c>
      <c r="F23" s="14">
        <f>נתונים!$B$5*(1+נתונים!$B$6)^(A23/12)</f>
        <v>3500000</v>
      </c>
      <c r="G23" s="10">
        <f t="shared" si="1"/>
        <v>877245.90786697296</v>
      </c>
      <c r="H23" s="14">
        <f>נתונים!B30*(1+נתונים!B31)^(B23-1)</f>
        <v>6630</v>
      </c>
      <c r="I23" s="14">
        <f>נתונים!B32*(1-נתונים!B33/12)*(1+נתונים!B31)^(B23-1)</f>
        <v>8553.1250000000018</v>
      </c>
      <c r="J23" s="10">
        <f t="shared" si="5"/>
        <v>7785.9645672160368</v>
      </c>
      <c r="K23" s="10">
        <f t="shared" si="6"/>
        <v>1923.1250000000018</v>
      </c>
      <c r="L23" s="10">
        <f>L22*(1+נתונים!B44)+J23</f>
        <v>545469.65799371677</v>
      </c>
      <c r="M23" s="10">
        <f>M22*(1+נתונים!B44)+K23</f>
        <v>45534.886040762693</v>
      </c>
      <c r="N23" s="14">
        <f>F23-(נתונים!B4+נתונים!B21)</f>
        <v>290000</v>
      </c>
      <c r="O23" s="14">
        <f>MAX(0,N23)*נתונים!B36*(1-נתונים!B37)</f>
        <v>0</v>
      </c>
      <c r="P23" s="10">
        <f t="shared" si="2"/>
        <v>877245.90786697296</v>
      </c>
      <c r="Q23" s="10">
        <f t="shared" si="3"/>
        <v>922780.79390773561</v>
      </c>
      <c r="R23" s="10">
        <f t="shared" si="4"/>
        <v>545469.65799371677</v>
      </c>
    </row>
    <row r="24" spans="1:18" x14ac:dyDescent="0.25">
      <c r="A24" s="4">
        <v>23</v>
      </c>
      <c r="B24" s="4">
        <f t="shared" si="0"/>
        <v>2</v>
      </c>
      <c r="C24" s="14">
        <f>נתונים!B43</f>
        <v>14165.964567216037</v>
      </c>
      <c r="D24" s="14">
        <f>נתונים!B27</f>
        <v>250</v>
      </c>
      <c r="E24" s="14">
        <f>INDEX(לוח_סילוקין!$F$2:$F$361,A24)</f>
        <v>2619079.143934343</v>
      </c>
      <c r="F24" s="14">
        <f>נתונים!$B$5*(1+נתונים!$B$6)^(A24/12)</f>
        <v>3500000</v>
      </c>
      <c r="G24" s="10">
        <f t="shared" si="1"/>
        <v>880920.85606565699</v>
      </c>
      <c r="H24" s="14">
        <f>נתונים!B30*(1+נתונים!B31)^(B24-1)</f>
        <v>6630</v>
      </c>
      <c r="I24" s="14">
        <f>נתונים!B32*(1-נתונים!B33/12)*(1+נתונים!B31)^(B24-1)</f>
        <v>8553.1250000000018</v>
      </c>
      <c r="J24" s="10">
        <f t="shared" si="5"/>
        <v>7785.9645672160368</v>
      </c>
      <c r="K24" s="10">
        <f t="shared" si="6"/>
        <v>1923.1250000000018</v>
      </c>
      <c r="L24" s="10">
        <f>L23*(1+נתונים!B44)+J24</f>
        <v>557605.27421348076</v>
      </c>
      <c r="M24" s="10">
        <f>M23*(1+נתונים!B44)+K24</f>
        <v>47821.112616465864</v>
      </c>
      <c r="N24" s="14">
        <f>F24-(נתונים!B4+נתונים!B21)</f>
        <v>290000</v>
      </c>
      <c r="O24" s="14">
        <f>MAX(0,N24)*נתונים!B36*(1-נתונים!B37)</f>
        <v>0</v>
      </c>
      <c r="P24" s="10">
        <f t="shared" si="2"/>
        <v>880920.85606565699</v>
      </c>
      <c r="Q24" s="10">
        <f t="shared" si="3"/>
        <v>928741.96868212288</v>
      </c>
      <c r="R24" s="10">
        <f t="shared" si="4"/>
        <v>557605.27421348076</v>
      </c>
    </row>
    <row r="25" spans="1:18" x14ac:dyDescent="0.25">
      <c r="A25" s="4">
        <v>24</v>
      </c>
      <c r="B25" s="4">
        <f t="shared" si="0"/>
        <v>2</v>
      </c>
      <c r="C25" s="14">
        <f>נתונים!B43</f>
        <v>14165.964567216037</v>
      </c>
      <c r="D25" s="14">
        <f>נתונים!B27</f>
        <v>250</v>
      </c>
      <c r="E25" s="14">
        <f>INDEX(לוח_סילוקין!$F$2:$F$361,A25)</f>
        <v>2615389.4959428646</v>
      </c>
      <c r="F25" s="14">
        <f>נתונים!$B$5*(1+נתונים!$B$6)^(A25/12)</f>
        <v>3500000</v>
      </c>
      <c r="G25" s="10">
        <f t="shared" si="1"/>
        <v>884610.50405713543</v>
      </c>
      <c r="H25" s="14">
        <f>נתונים!B30*(1+נתונים!B31)^(B25-1)</f>
        <v>6630</v>
      </c>
      <c r="I25" s="14">
        <f>נתונים!B32*(1-נתונים!B33/12)*(1+נתונים!B31)^(B25-1)</f>
        <v>8553.1250000000018</v>
      </c>
      <c r="J25" s="10">
        <f t="shared" si="5"/>
        <v>7785.9645672160368</v>
      </c>
      <c r="K25" s="10">
        <f t="shared" si="6"/>
        <v>1923.1250000000018</v>
      </c>
      <c r="L25" s="10">
        <f>L24*(1+נתונים!B44)+J25</f>
        <v>569837.66154117242</v>
      </c>
      <c r="M25" s="10">
        <f>M24*(1+נתונים!B44)+K25</f>
        <v>50125.569883935983</v>
      </c>
      <c r="N25" s="14">
        <f>F25-(נתונים!B4+נתונים!B21)</f>
        <v>290000</v>
      </c>
      <c r="O25" s="14">
        <f>MAX(0,N25)*נתונים!B36*(1-נתונים!B37)</f>
        <v>0</v>
      </c>
      <c r="P25" s="10">
        <f t="shared" si="2"/>
        <v>884610.50405713543</v>
      </c>
      <c r="Q25" s="10">
        <f t="shared" si="3"/>
        <v>934736.0739410714</v>
      </c>
      <c r="R25" s="10">
        <f t="shared" si="4"/>
        <v>569837.66154117242</v>
      </c>
    </row>
    <row r="26" spans="1:18" x14ac:dyDescent="0.25">
      <c r="A26" s="4">
        <v>25</v>
      </c>
      <c r="B26" s="4">
        <f t="shared" si="0"/>
        <v>3</v>
      </c>
      <c r="C26" s="14">
        <f>נתונים!B43</f>
        <v>14165.964567216037</v>
      </c>
      <c r="D26" s="14">
        <f>נתונים!B27</f>
        <v>250</v>
      </c>
      <c r="E26" s="14">
        <f>INDEX(לוח_סילוקין!$F$2:$F$361,A26)</f>
        <v>2611685.0893594199</v>
      </c>
      <c r="F26" s="14">
        <f>נתונים!$B$5*(1+נתונים!$B$6)^(A26/12)</f>
        <v>3500000</v>
      </c>
      <c r="G26" s="10">
        <f t="shared" si="1"/>
        <v>888314.91064058011</v>
      </c>
      <c r="H26" s="14">
        <f>נתונים!B30*(1+נתונים!B31)^(B26-1)</f>
        <v>6762.6</v>
      </c>
      <c r="I26" s="14">
        <f>נתונים!B32*(1-נתונים!B33/12)*(1+נתונים!B31)^(B26-1)</f>
        <v>8724.1875000000018</v>
      </c>
      <c r="J26" s="10">
        <f t="shared" si="5"/>
        <v>7653.3645672160364</v>
      </c>
      <c r="K26" s="10">
        <f t="shared" si="6"/>
        <v>1961.5875000000015</v>
      </c>
      <c r="L26" s="10">
        <f>L25*(1+נתונים!B44)+J26</f>
        <v>582034.99164319586</v>
      </c>
      <c r="M26" s="10">
        <f>M25*(1+נתונים!B44)+K26</f>
        <v>52486.86571726932</v>
      </c>
      <c r="N26" s="14">
        <f>F26-(נתונים!B4+נתונים!B21)</f>
        <v>290000</v>
      </c>
      <c r="O26" s="14">
        <f>MAX(0,N26)*נתונים!B36*(1-נתונים!B37)</f>
        <v>0</v>
      </c>
      <c r="P26" s="10">
        <f t="shared" si="2"/>
        <v>888314.91064058011</v>
      </c>
      <c r="Q26" s="10">
        <f t="shared" si="3"/>
        <v>940801.77635784948</v>
      </c>
      <c r="R26" s="10">
        <f t="shared" si="4"/>
        <v>582034.99164319586</v>
      </c>
    </row>
    <row r="27" spans="1:18" x14ac:dyDescent="0.25">
      <c r="A27" s="4">
        <v>26</v>
      </c>
      <c r="B27" s="4">
        <f t="shared" si="0"/>
        <v>3</v>
      </c>
      <c r="C27" s="14">
        <f>נתונים!B43</f>
        <v>14165.964567216037</v>
      </c>
      <c r="D27" s="14">
        <f>נתונים!B27</f>
        <v>250</v>
      </c>
      <c r="E27" s="14">
        <f>INDEX(לוח_סילוקין!$F$2:$F$361,A27)</f>
        <v>2607965.8651496414</v>
      </c>
      <c r="F27" s="14">
        <f>נתונים!$B$5*(1+נתונים!$B$6)^(A27/12)</f>
        <v>3500000</v>
      </c>
      <c r="G27" s="10">
        <f t="shared" si="1"/>
        <v>892034.13485035859</v>
      </c>
      <c r="H27" s="14">
        <f>נתונים!B30*(1+נתונים!B31)^(B27-1)</f>
        <v>6762.6</v>
      </c>
      <c r="I27" s="14">
        <f>נתונים!B32*(1-נתונים!B33/12)*(1+נתונים!B31)^(B27-1)</f>
        <v>8724.1875000000018</v>
      </c>
      <c r="J27" s="10">
        <f t="shared" si="5"/>
        <v>7653.3645672160364</v>
      </c>
      <c r="K27" s="10">
        <f t="shared" si="6"/>
        <v>1961.5875000000015</v>
      </c>
      <c r="L27" s="10">
        <f>L26*(1+נתונים!B44)+J27</f>
        <v>594329.58496831055</v>
      </c>
      <c r="M27" s="10">
        <f>M26*(1+נתונים!B44)+K27</f>
        <v>54866.99085517184</v>
      </c>
      <c r="N27" s="14">
        <f>F27-(נתונים!B4+נתונים!B21)</f>
        <v>290000</v>
      </c>
      <c r="O27" s="14">
        <f>MAX(0,N27)*נתונים!B36*(1-נתונים!B37)</f>
        <v>0</v>
      </c>
      <c r="P27" s="10">
        <f t="shared" si="2"/>
        <v>892034.13485035859</v>
      </c>
      <c r="Q27" s="10">
        <f t="shared" si="3"/>
        <v>946901.1257055304</v>
      </c>
      <c r="R27" s="10">
        <f t="shared" si="4"/>
        <v>594329.58496831055</v>
      </c>
    </row>
    <row r="28" spans="1:18" x14ac:dyDescent="0.25">
      <c r="A28" s="4">
        <v>27</v>
      </c>
      <c r="B28" s="4">
        <f t="shared" si="0"/>
        <v>3</v>
      </c>
      <c r="C28" s="14">
        <f>נתונים!B43</f>
        <v>14165.964567216037</v>
      </c>
      <c r="D28" s="14">
        <f>נתונים!B27</f>
        <v>250</v>
      </c>
      <c r="E28" s="14">
        <f>INDEX(לוח_סילוקין!$F$2:$F$361,A28)</f>
        <v>2604231.7640430238</v>
      </c>
      <c r="F28" s="14">
        <f>נתונים!$B$5*(1+נתונים!$B$6)^(A28/12)</f>
        <v>3500000</v>
      </c>
      <c r="G28" s="10">
        <f t="shared" si="1"/>
        <v>895768.23595697619</v>
      </c>
      <c r="H28" s="14">
        <f>נתונים!B30*(1+נתונים!B31)^(B28-1)</f>
        <v>6762.6</v>
      </c>
      <c r="I28" s="14">
        <f>נתונים!B32*(1-נתונים!B33/12)*(1+נתונים!B31)^(B28-1)</f>
        <v>8724.1875000000018</v>
      </c>
      <c r="J28" s="10">
        <f t="shared" si="5"/>
        <v>7653.3645672160364</v>
      </c>
      <c r="K28" s="10">
        <f t="shared" si="6"/>
        <v>1961.5875000000015</v>
      </c>
      <c r="L28" s="10">
        <f>L27*(1+נתונים!B44)+J28</f>
        <v>606722.21710711601</v>
      </c>
      <c r="M28" s="10">
        <f>M27*(1+נתונים!B44)+K28</f>
        <v>57266.095445162362</v>
      </c>
      <c r="N28" s="14">
        <f>F28-(נתונים!B4+נתונים!B21)</f>
        <v>290000</v>
      </c>
      <c r="O28" s="14">
        <f>MAX(0,N28)*נתונים!B36*(1-נתונים!B37)</f>
        <v>0</v>
      </c>
      <c r="P28" s="10">
        <f t="shared" si="2"/>
        <v>895768.23595697619</v>
      </c>
      <c r="Q28" s="10">
        <f t="shared" si="3"/>
        <v>953034.33140213857</v>
      </c>
      <c r="R28" s="10">
        <f t="shared" si="4"/>
        <v>606722.21710711601</v>
      </c>
    </row>
    <row r="29" spans="1:18" x14ac:dyDescent="0.25">
      <c r="A29" s="4">
        <v>28</v>
      </c>
      <c r="B29" s="4">
        <f t="shared" si="0"/>
        <v>3</v>
      </c>
      <c r="C29" s="14">
        <f>נתונים!B43</f>
        <v>14165.964567216037</v>
      </c>
      <c r="D29" s="14">
        <f>נתונים!B27</f>
        <v>250</v>
      </c>
      <c r="E29" s="14">
        <f>INDEX(לוח_סילוקין!$F$2:$F$361,A29)</f>
        <v>2600482.7265319801</v>
      </c>
      <c r="F29" s="14">
        <f>נתונים!$B$5*(1+נתונים!$B$6)^(A29/12)</f>
        <v>3500000</v>
      </c>
      <c r="G29" s="10">
        <f t="shared" si="1"/>
        <v>899517.27346801991</v>
      </c>
      <c r="H29" s="14">
        <f>נתונים!B30*(1+נתונים!B31)^(B29-1)</f>
        <v>6762.6</v>
      </c>
      <c r="I29" s="14">
        <f>נתונים!B32*(1-נתונים!B33/12)*(1+נתונים!B31)^(B29-1)</f>
        <v>8724.1875000000018</v>
      </c>
      <c r="J29" s="10">
        <f t="shared" si="5"/>
        <v>7653.3645672160364</v>
      </c>
      <c r="K29" s="10">
        <f t="shared" si="6"/>
        <v>1961.5875000000015</v>
      </c>
      <c r="L29" s="10">
        <f>L28*(1+נתונים!B44)+J29</f>
        <v>619213.66983488004</v>
      </c>
      <c r="M29" s="10">
        <f>M28*(1+נתונים!B44)+K29</f>
        <v>59684.330832057094</v>
      </c>
      <c r="N29" s="14">
        <f>F29-(נתונים!B4+נתונים!B21)</f>
        <v>290000</v>
      </c>
      <c r="O29" s="14">
        <f>MAX(0,N29)*נתונים!B36*(1-נתונים!B37)</f>
        <v>0</v>
      </c>
      <c r="P29" s="10">
        <f t="shared" si="2"/>
        <v>899517.27346801991</v>
      </c>
      <c r="Q29" s="10">
        <f t="shared" si="3"/>
        <v>959201.60430007696</v>
      </c>
      <c r="R29" s="10">
        <f t="shared" si="4"/>
        <v>619213.66983488004</v>
      </c>
    </row>
    <row r="30" spans="1:18" x14ac:dyDescent="0.25">
      <c r="A30" s="4">
        <v>29</v>
      </c>
      <c r="B30" s="4">
        <f t="shared" si="0"/>
        <v>3</v>
      </c>
      <c r="C30" s="14">
        <f>נתונים!B43</f>
        <v>14165.964567216037</v>
      </c>
      <c r="D30" s="14">
        <f>נתונים!B27</f>
        <v>250</v>
      </c>
      <c r="E30" s="14">
        <f>INDEX(לוח_סילוקין!$F$2:$F$361,A30)</f>
        <v>2596718.6928708921</v>
      </c>
      <c r="F30" s="14">
        <f>נתונים!$B$5*(1+נתונים!$B$6)^(A30/12)</f>
        <v>3500000</v>
      </c>
      <c r="G30" s="10">
        <f t="shared" si="1"/>
        <v>903281.30712910788</v>
      </c>
      <c r="H30" s="14">
        <f>נתונים!B30*(1+נתונים!B31)^(B30-1)</f>
        <v>6762.6</v>
      </c>
      <c r="I30" s="14">
        <f>נתונים!B32*(1-נתונים!B33/12)*(1+נתונים!B31)^(B30-1)</f>
        <v>8724.1875000000018</v>
      </c>
      <c r="J30" s="10">
        <f t="shared" si="5"/>
        <v>7653.3645672160364</v>
      </c>
      <c r="K30" s="10">
        <f t="shared" si="6"/>
        <v>1961.5875000000015</v>
      </c>
      <c r="L30" s="10">
        <f>L29*(1+נתונים!B44)+J30</f>
        <v>631804.7311608562</v>
      </c>
      <c r="M30" s="10">
        <f>M29*(1+נתונים!B44)+K30</f>
        <v>62121.849567517071</v>
      </c>
      <c r="N30" s="14">
        <f>F30-(נתונים!B4+נתונים!B21)</f>
        <v>290000</v>
      </c>
      <c r="O30" s="14">
        <f>MAX(0,N30)*נתונים!B36*(1-נתונים!B37)</f>
        <v>0</v>
      </c>
      <c r="P30" s="10">
        <f t="shared" si="2"/>
        <v>903281.30712910788</v>
      </c>
      <c r="Q30" s="10">
        <f t="shared" si="3"/>
        <v>965403.15669662494</v>
      </c>
      <c r="R30" s="10">
        <f t="shared" si="4"/>
        <v>631804.7311608562</v>
      </c>
    </row>
    <row r="31" spans="1:18" x14ac:dyDescent="0.25">
      <c r="A31" s="4">
        <v>30</v>
      </c>
      <c r="B31" s="4">
        <f t="shared" si="0"/>
        <v>3</v>
      </c>
      <c r="C31" s="14">
        <f>נתונים!B43</f>
        <v>14165.964567216037</v>
      </c>
      <c r="D31" s="14">
        <f>נתונים!B27</f>
        <v>250</v>
      </c>
      <c r="E31" s="14">
        <f>INDEX(לוח_סילוקין!$F$2:$F$361,A31)</f>
        <v>2592939.6030751597</v>
      </c>
      <c r="F31" s="14">
        <f>נתונים!$B$5*(1+נתונים!$B$6)^(A31/12)</f>
        <v>3500000</v>
      </c>
      <c r="G31" s="10">
        <f t="shared" si="1"/>
        <v>907060.39692484029</v>
      </c>
      <c r="H31" s="14">
        <f>נתונים!B30*(1+נתונים!B31)^(B31-1)</f>
        <v>6762.6</v>
      </c>
      <c r="I31" s="14">
        <f>נתונים!B32*(1-נתונים!B33/12)*(1+נתונים!B31)^(B31-1)</f>
        <v>8724.1875000000018</v>
      </c>
      <c r="J31" s="10">
        <f t="shared" si="5"/>
        <v>7653.3645672160364</v>
      </c>
      <c r="K31" s="10">
        <f t="shared" si="6"/>
        <v>1961.5875000000015</v>
      </c>
      <c r="L31" s="10">
        <f>L30*(1+נתונים!B44)+J31</f>
        <v>644496.19537799468</v>
      </c>
      <c r="M31" s="10">
        <f>M30*(1+נתונים!B44)+K31</f>
        <v>64578.805419671691</v>
      </c>
      <c r="N31" s="14">
        <f>F31-(נתונים!B4+נתונים!B21)</f>
        <v>290000</v>
      </c>
      <c r="O31" s="14">
        <f>MAX(0,N31)*נתונים!B36*(1-נתונים!B37)</f>
        <v>0</v>
      </c>
      <c r="P31" s="10">
        <f t="shared" si="2"/>
        <v>907060.39692484029</v>
      </c>
      <c r="Q31" s="10">
        <f t="shared" si="3"/>
        <v>971639.20234451198</v>
      </c>
      <c r="R31" s="10">
        <f t="shared" si="4"/>
        <v>644496.19537799468</v>
      </c>
    </row>
    <row r="32" spans="1:18" x14ac:dyDescent="0.25">
      <c r="A32" s="4">
        <v>31</v>
      </c>
      <c r="B32" s="4">
        <f t="shared" si="0"/>
        <v>3</v>
      </c>
      <c r="C32" s="14">
        <f>נתונים!B43</f>
        <v>14165.964567216037</v>
      </c>
      <c r="D32" s="14">
        <f>נתונים!B27</f>
        <v>250</v>
      </c>
      <c r="E32" s="14">
        <f>INDEX(לוח_סילוקין!$F$2:$F$361,A32)</f>
        <v>2589145.3969202442</v>
      </c>
      <c r="F32" s="14">
        <f>נתונים!$B$5*(1+נתונים!$B$6)^(A32/12)</f>
        <v>3500000</v>
      </c>
      <c r="G32" s="10">
        <f t="shared" si="1"/>
        <v>910854.60307975579</v>
      </c>
      <c r="H32" s="14">
        <f>נתונים!B30*(1+נתונים!B31)^(B32-1)</f>
        <v>6762.6</v>
      </c>
      <c r="I32" s="14">
        <f>נתונים!B32*(1-נתונים!B33/12)*(1+נתונים!B31)^(B32-1)</f>
        <v>8724.1875000000018</v>
      </c>
      <c r="J32" s="10">
        <f t="shared" si="5"/>
        <v>7653.3645672160364</v>
      </c>
      <c r="K32" s="10">
        <f t="shared" si="6"/>
        <v>1961.5875000000015</v>
      </c>
      <c r="L32" s="10">
        <f>L31*(1+נתונים!B44)+J32</f>
        <v>657288.86311304907</v>
      </c>
      <c r="M32" s="10">
        <f>M31*(1+נתונים!B44)+K32</f>
        <v>67055.353382819012</v>
      </c>
      <c r="N32" s="14">
        <f>F32-(נתונים!B4+נתונים!B21)</f>
        <v>290000</v>
      </c>
      <c r="O32" s="14">
        <f>MAX(0,N32)*נתונים!B36*(1-נתונים!B37)</f>
        <v>0</v>
      </c>
      <c r="P32" s="10">
        <f t="shared" si="2"/>
        <v>910854.60307975579</v>
      </c>
      <c r="Q32" s="10">
        <f t="shared" si="3"/>
        <v>977909.95646257477</v>
      </c>
      <c r="R32" s="10">
        <f t="shared" si="4"/>
        <v>657288.86311304907</v>
      </c>
    </row>
    <row r="33" spans="1:18" x14ac:dyDescent="0.25">
      <c r="A33" s="4">
        <v>32</v>
      </c>
      <c r="B33" s="4">
        <f t="shared" si="0"/>
        <v>3</v>
      </c>
      <c r="C33" s="14">
        <f>נתונים!B43</f>
        <v>14165.964567216037</v>
      </c>
      <c r="D33" s="14">
        <f>נתונים!B27</f>
        <v>250</v>
      </c>
      <c r="E33" s="14">
        <f>INDEX(לוח_סילוקין!$F$2:$F$361,A33)</f>
        <v>2585336.0139407092</v>
      </c>
      <c r="F33" s="14">
        <f>נתונים!$B$5*(1+נתונים!$B$6)^(A33/12)</f>
        <v>3500000</v>
      </c>
      <c r="G33" s="10">
        <f t="shared" si="1"/>
        <v>914663.98605929082</v>
      </c>
      <c r="H33" s="14">
        <f>נתונים!B30*(1+נתונים!B31)^(B33-1)</f>
        <v>6762.6</v>
      </c>
      <c r="I33" s="14">
        <f>נתונים!B32*(1-נתונים!B33/12)*(1+נתונים!B31)^(B33-1)</f>
        <v>8724.1875000000018</v>
      </c>
      <c r="J33" s="10">
        <f t="shared" si="5"/>
        <v>7653.3645672160364</v>
      </c>
      <c r="K33" s="10">
        <f t="shared" si="6"/>
        <v>1961.5875000000015</v>
      </c>
      <c r="L33" s="10">
        <f>L32*(1+נתונים!B44)+J33</f>
        <v>670183.54137708305</v>
      </c>
      <c r="M33" s="10">
        <f>M32*(1+נתונים!B44)+K33</f>
        <v>69551.649687203375</v>
      </c>
      <c r="N33" s="14">
        <f>F33-(נתונים!B4+נתונים!B21)</f>
        <v>290000</v>
      </c>
      <c r="O33" s="14">
        <f>MAX(0,N33)*נתונים!B36*(1-נתונים!B37)</f>
        <v>0</v>
      </c>
      <c r="P33" s="10">
        <f t="shared" si="2"/>
        <v>914663.98605929082</v>
      </c>
      <c r="Q33" s="10">
        <f t="shared" si="3"/>
        <v>984215.63574649417</v>
      </c>
      <c r="R33" s="10">
        <f t="shared" si="4"/>
        <v>670183.54137708305</v>
      </c>
    </row>
    <row r="34" spans="1:18" x14ac:dyDescent="0.25">
      <c r="A34" s="4">
        <v>33</v>
      </c>
      <c r="B34" s="4">
        <f t="shared" ref="B34:B65" si="7">ROUNDUP(A34/12,0)</f>
        <v>3</v>
      </c>
      <c r="C34" s="14">
        <f>נתונים!B43</f>
        <v>14165.964567216037</v>
      </c>
      <c r="D34" s="14">
        <f>נתונים!B27</f>
        <v>250</v>
      </c>
      <c r="E34" s="14">
        <f>INDEX(לוח_סילוקין!$F$2:$F$361,A34)</f>
        <v>2581511.393429256</v>
      </c>
      <c r="F34" s="14">
        <f>נתונים!$B$5*(1+נתונים!$B$6)^(A34/12)</f>
        <v>3500000</v>
      </c>
      <c r="G34" s="10">
        <f t="shared" ref="G34:G65" si="8">F34-E34</f>
        <v>918488.60657074396</v>
      </c>
      <c r="H34" s="14">
        <f>נתונים!B30*(1+נתונים!B31)^(B34-1)</f>
        <v>6762.6</v>
      </c>
      <c r="I34" s="14">
        <f>נתונים!B32*(1-נתונים!B33/12)*(1+נתונים!B31)^(B34-1)</f>
        <v>8724.1875000000018</v>
      </c>
      <c r="J34" s="10">
        <f t="shared" ref="J34:J65" si="9">(C34+D34)-H34</f>
        <v>7653.3645672160364</v>
      </c>
      <c r="K34" s="10">
        <f t="shared" si="6"/>
        <v>1961.5875000000015</v>
      </c>
      <c r="L34" s="10">
        <f>L33*(1+נתונים!B44)+J34</f>
        <v>683181.04361637996</v>
      </c>
      <c r="M34" s="10">
        <f>M33*(1+נתונים!B44)+K34</f>
        <v>72067.851808871055</v>
      </c>
      <c r="N34" s="14">
        <f>F34-(נתונים!B4+נתונים!B21)</f>
        <v>290000</v>
      </c>
      <c r="O34" s="14">
        <f>MAX(0,N34)*נתונים!B36*(1-נתונים!B37)</f>
        <v>0</v>
      </c>
      <c r="P34" s="10">
        <f t="shared" ref="P34:P65" si="10">G34-O34</f>
        <v>918488.60657074396</v>
      </c>
      <c r="Q34" s="10">
        <f t="shared" ref="Q34:Q65" si="11">G34-O34+M34</f>
        <v>990556.45837961498</v>
      </c>
      <c r="R34" s="10">
        <f t="shared" ref="R34:R65" si="12">L34</f>
        <v>683181.04361637996</v>
      </c>
    </row>
    <row r="35" spans="1:18" x14ac:dyDescent="0.25">
      <c r="A35" s="4">
        <v>34</v>
      </c>
      <c r="B35" s="4">
        <f t="shared" si="7"/>
        <v>3</v>
      </c>
      <c r="C35" s="14">
        <f>נתונים!B43</f>
        <v>14165.964567216037</v>
      </c>
      <c r="D35" s="14">
        <f>נתונים!B27</f>
        <v>250</v>
      </c>
      <c r="E35" s="14">
        <f>INDEX(לוח_סילוקין!$F$2:$F$361,A35)</f>
        <v>2577671.4744357569</v>
      </c>
      <c r="F35" s="14">
        <f>נתונים!$B$5*(1+נתונים!$B$6)^(A35/12)</f>
        <v>3500000</v>
      </c>
      <c r="G35" s="10">
        <f t="shared" si="8"/>
        <v>922328.52556424309</v>
      </c>
      <c r="H35" s="14">
        <f>נתונים!B30*(1+נתונים!B31)^(B35-1)</f>
        <v>6762.6</v>
      </c>
      <c r="I35" s="14">
        <f>נתונים!B32*(1-נתונים!B33/12)*(1+נתונים!B31)^(B35-1)</f>
        <v>8724.1875000000018</v>
      </c>
      <c r="J35" s="10">
        <f t="shared" si="9"/>
        <v>7653.3645672160364</v>
      </c>
      <c r="K35" s="10">
        <f t="shared" si="6"/>
        <v>1961.5875000000015</v>
      </c>
      <c r="L35" s="10">
        <f>L34*(1+נתונים!B44)+J35</f>
        <v>696282.18976375798</v>
      </c>
      <c r="M35" s="10">
        <f>M34*(1+נתונים!B44)+K35</f>
        <v>74604.118479604425</v>
      </c>
      <c r="N35" s="14">
        <f>F35-(נתונים!B4+נתונים!B21)</f>
        <v>290000</v>
      </c>
      <c r="O35" s="14">
        <f>MAX(0,N35)*נתונים!B36*(1-נתונים!B37)</f>
        <v>0</v>
      </c>
      <c r="P35" s="10">
        <f t="shared" si="10"/>
        <v>922328.52556424309</v>
      </c>
      <c r="Q35" s="10">
        <f t="shared" si="11"/>
        <v>996932.64404384745</v>
      </c>
      <c r="R35" s="10">
        <f t="shared" si="12"/>
        <v>696282.18976375798</v>
      </c>
    </row>
    <row r="36" spans="1:18" x14ac:dyDescent="0.25">
      <c r="A36" s="4">
        <v>35</v>
      </c>
      <c r="B36" s="4">
        <f t="shared" si="7"/>
        <v>3</v>
      </c>
      <c r="C36" s="14">
        <f>נתונים!B43</f>
        <v>14165.964567216037</v>
      </c>
      <c r="D36" s="14">
        <f>נתונים!B27</f>
        <v>250</v>
      </c>
      <c r="E36" s="14">
        <f>INDEX(לוח_סילוקין!$F$2:$F$361,A36)</f>
        <v>2573816.1957662841</v>
      </c>
      <c r="F36" s="14">
        <f>נתונים!$B$5*(1+נתונים!$B$6)^(A36/12)</f>
        <v>3500000</v>
      </c>
      <c r="G36" s="10">
        <f t="shared" si="8"/>
        <v>926183.80423371587</v>
      </c>
      <c r="H36" s="14">
        <f>נתונים!B30*(1+נתונים!B31)^(B36-1)</f>
        <v>6762.6</v>
      </c>
      <c r="I36" s="14">
        <f>נתונים!B32*(1-נתונים!B33/12)*(1+נתונים!B31)^(B36-1)</f>
        <v>8724.1875000000018</v>
      </c>
      <c r="J36" s="10">
        <f t="shared" si="9"/>
        <v>7653.3645672160364</v>
      </c>
      <c r="K36" s="10">
        <f t="shared" si="6"/>
        <v>1961.5875000000015</v>
      </c>
      <c r="L36" s="10">
        <f>L35*(1+נתונים!B44)+J36</f>
        <v>709487.80629029486</v>
      </c>
      <c r="M36" s="10">
        <f>M35*(1+נתונים!B44)+K36</f>
        <v>77160.609696935368</v>
      </c>
      <c r="N36" s="14">
        <f>F36-(נתונים!B4+נתונים!B21)</f>
        <v>290000</v>
      </c>
      <c r="O36" s="14">
        <f>MAX(0,N36)*נתונים!B36*(1-נתונים!B37)</f>
        <v>0</v>
      </c>
      <c r="P36" s="10">
        <f t="shared" si="10"/>
        <v>926183.80423371587</v>
      </c>
      <c r="Q36" s="10">
        <f t="shared" si="11"/>
        <v>1003344.4139306513</v>
      </c>
      <c r="R36" s="10">
        <f t="shared" si="12"/>
        <v>709487.80629029486</v>
      </c>
    </row>
    <row r="37" spans="1:18" x14ac:dyDescent="0.25">
      <c r="A37" s="4">
        <v>36</v>
      </c>
      <c r="B37" s="4">
        <f t="shared" si="7"/>
        <v>3</v>
      </c>
      <c r="C37" s="14">
        <f>נתונים!B43</f>
        <v>14165.964567216037</v>
      </c>
      <c r="D37" s="14">
        <f>נתונים!B27</f>
        <v>250</v>
      </c>
      <c r="E37" s="14">
        <f>INDEX(לוח_סילוקין!$F$2:$F$361,A37)</f>
        <v>2569945.4959821333</v>
      </c>
      <c r="F37" s="14">
        <f>נתונים!$B$5*(1+נתונים!$B$6)^(A37/12)</f>
        <v>3500000</v>
      </c>
      <c r="G37" s="10">
        <f t="shared" si="8"/>
        <v>930054.50401786668</v>
      </c>
      <c r="H37" s="14">
        <f>נתונים!B30*(1+נתונים!B31)^(B37-1)</f>
        <v>6762.6</v>
      </c>
      <c r="I37" s="14">
        <f>נתונים!B32*(1-נתונים!B33/12)*(1+נתונים!B31)^(B37-1)</f>
        <v>8724.1875000000018</v>
      </c>
      <c r="J37" s="10">
        <f t="shared" si="9"/>
        <v>7653.3645672160364</v>
      </c>
      <c r="K37" s="10">
        <f t="shared" si="6"/>
        <v>1961.5875000000015</v>
      </c>
      <c r="L37" s="10">
        <f>L36*(1+נתונים!B44)+J37</f>
        <v>722798.72625746462</v>
      </c>
      <c r="M37" s="10">
        <f>M36*(1+נתונים!B44)+K37</f>
        <v>79737.48673423857</v>
      </c>
      <c r="N37" s="14">
        <f>F37-(נתונים!B4+נתונים!B21)</f>
        <v>290000</v>
      </c>
      <c r="O37" s="14">
        <f>MAX(0,N37)*נתונים!B36*(1-נתונים!B37)</f>
        <v>0</v>
      </c>
      <c r="P37" s="10">
        <f t="shared" si="10"/>
        <v>930054.50401786668</v>
      </c>
      <c r="Q37" s="10">
        <f t="shared" si="11"/>
        <v>1009791.9907521053</v>
      </c>
      <c r="R37" s="10">
        <f t="shared" si="12"/>
        <v>722798.72625746462</v>
      </c>
    </row>
    <row r="38" spans="1:18" x14ac:dyDescent="0.25">
      <c r="A38" s="4">
        <v>37</v>
      </c>
      <c r="B38" s="4">
        <f t="shared" si="7"/>
        <v>4</v>
      </c>
      <c r="C38" s="14">
        <f>נתונים!B43</f>
        <v>14165.964567216037</v>
      </c>
      <c r="D38" s="14">
        <f>נתונים!B27</f>
        <v>250</v>
      </c>
      <c r="E38" s="14">
        <f>INDEX(לוח_סילוקין!$F$2:$F$361,A38)</f>
        <v>2566059.313398846</v>
      </c>
      <c r="F38" s="14">
        <f>נתונים!$B$5*(1+נתונים!$B$6)^(A38/12)</f>
        <v>3500000</v>
      </c>
      <c r="G38" s="10">
        <f t="shared" si="8"/>
        <v>933940.68660115404</v>
      </c>
      <c r="H38" s="14">
        <f>נתונים!B30*(1+נתונים!B31)^(B38-1)</f>
        <v>6897.8519999999999</v>
      </c>
      <c r="I38" s="14">
        <f>נתונים!B32*(1-נתונים!B33/12)*(1+נתונים!B31)^(B38-1)</f>
        <v>8898.6712500000012</v>
      </c>
      <c r="J38" s="10">
        <f t="shared" si="9"/>
        <v>7518.112567216037</v>
      </c>
      <c r="K38" s="10">
        <f t="shared" si="6"/>
        <v>2000.8192500000014</v>
      </c>
      <c r="L38" s="10">
        <f>L37*(1+נתונים!B44)+J38</f>
        <v>736080.53736969049</v>
      </c>
      <c r="M38" s="10">
        <f>M37*(1+נתונים!B44)+K38</f>
        <v>82374.143900905241</v>
      </c>
      <c r="N38" s="14">
        <f>F38-(נתונים!B4+נתונים!B21)</f>
        <v>290000</v>
      </c>
      <c r="O38" s="14">
        <f>MAX(0,N38)*נתונים!B36*(1-נתונים!B37)</f>
        <v>0</v>
      </c>
      <c r="P38" s="10">
        <f t="shared" si="10"/>
        <v>933940.68660115404</v>
      </c>
      <c r="Q38" s="10">
        <f t="shared" si="11"/>
        <v>1016314.8305020593</v>
      </c>
      <c r="R38" s="10">
        <f t="shared" si="12"/>
        <v>736080.53736969049</v>
      </c>
    </row>
    <row r="39" spans="1:18" x14ac:dyDescent="0.25">
      <c r="A39" s="4">
        <v>38</v>
      </c>
      <c r="B39" s="4">
        <f t="shared" si="7"/>
        <v>4</v>
      </c>
      <c r="C39" s="14">
        <f>נתונים!B43</f>
        <v>14165.964567216037</v>
      </c>
      <c r="D39" s="14">
        <f>נתונים!B27</f>
        <v>250</v>
      </c>
      <c r="E39" s="14">
        <f>INDEX(לוח_סילוקין!$F$2:$F$361,A39)</f>
        <v>2562157.5860852255</v>
      </c>
      <c r="F39" s="14">
        <f>נתונים!$B$5*(1+נתונים!$B$6)^(A39/12)</f>
        <v>3500000</v>
      </c>
      <c r="G39" s="10">
        <f t="shared" si="8"/>
        <v>937842.41391477454</v>
      </c>
      <c r="H39" s="14">
        <f>נתונים!B30*(1+נתונים!B31)^(B39-1)</f>
        <v>6897.8519999999999</v>
      </c>
      <c r="I39" s="14">
        <f>נתונים!B32*(1-נתונים!B33/12)*(1+נתונים!B31)^(B39-1)</f>
        <v>8898.6712500000012</v>
      </c>
      <c r="J39" s="10">
        <f t="shared" si="9"/>
        <v>7518.112567216037</v>
      </c>
      <c r="K39" s="10">
        <f t="shared" si="6"/>
        <v>2000.8192500000014</v>
      </c>
      <c r="L39" s="10">
        <f>L38*(1+נתונים!B44)+J39</f>
        <v>749468.25950887543</v>
      </c>
      <c r="M39" s="10">
        <f>M38*(1+נתונים!B44)+K39</f>
        <v>85031.826142081787</v>
      </c>
      <c r="N39" s="14">
        <f>F39-(נתונים!B4+נתונים!B21)</f>
        <v>290000</v>
      </c>
      <c r="O39" s="14">
        <f>MAX(0,N39)*נתונים!B36*(1-נתונים!B37)</f>
        <v>0</v>
      </c>
      <c r="P39" s="10">
        <f t="shared" si="10"/>
        <v>937842.41391477454</v>
      </c>
      <c r="Q39" s="10">
        <f t="shared" si="11"/>
        <v>1022874.2400568563</v>
      </c>
      <c r="R39" s="10">
        <f t="shared" si="12"/>
        <v>749468.25950887543</v>
      </c>
    </row>
    <row r="40" spans="1:18" x14ac:dyDescent="0.25">
      <c r="A40" s="4">
        <v>39</v>
      </c>
      <c r="B40" s="4">
        <f t="shared" si="7"/>
        <v>4</v>
      </c>
      <c r="C40" s="14">
        <f>נתונים!B43</f>
        <v>14165.964567216037</v>
      </c>
      <c r="D40" s="14">
        <f>נתונים!B27</f>
        <v>250</v>
      </c>
      <c r="E40" s="14">
        <f>INDEX(לוח_סילוקין!$F$2:$F$361,A40)</f>
        <v>2558240.2518623504</v>
      </c>
      <c r="F40" s="14">
        <f>נתונים!$B$5*(1+נתונים!$B$6)^(A40/12)</f>
        <v>3500000</v>
      </c>
      <c r="G40" s="10">
        <f t="shared" si="8"/>
        <v>941759.74813764961</v>
      </c>
      <c r="H40" s="14">
        <f>נתונים!B30*(1+נתונים!B31)^(B40-1)</f>
        <v>6897.8519999999999</v>
      </c>
      <c r="I40" s="14">
        <f>נתונים!B32*(1-נתונים!B33/12)*(1+נתונים!B31)^(B40-1)</f>
        <v>8898.6712500000012</v>
      </c>
      <c r="J40" s="10">
        <f t="shared" si="9"/>
        <v>7518.112567216037</v>
      </c>
      <c r="K40" s="10">
        <f t="shared" si="6"/>
        <v>2000.8192500000014</v>
      </c>
      <c r="L40" s="10">
        <f>L39*(1+נתונים!B44)+J40</f>
        <v>762962.73722442135</v>
      </c>
      <c r="M40" s="10">
        <f>M39*(1+נתונים!B44)+K40</f>
        <v>87710.701114664873</v>
      </c>
      <c r="N40" s="14">
        <f>F40-(נתונים!B4+נתונים!B21)</f>
        <v>290000</v>
      </c>
      <c r="O40" s="14">
        <f>MAX(0,N40)*נתונים!B36*(1-נתונים!B37)</f>
        <v>0</v>
      </c>
      <c r="P40" s="10">
        <f t="shared" si="10"/>
        <v>941759.74813764961</v>
      </c>
      <c r="Q40" s="10">
        <f t="shared" si="11"/>
        <v>1029470.4492523145</v>
      </c>
      <c r="R40" s="10">
        <f t="shared" si="12"/>
        <v>762962.73722442135</v>
      </c>
    </row>
    <row r="41" spans="1:18" x14ac:dyDescent="0.25">
      <c r="A41" s="4">
        <v>40</v>
      </c>
      <c r="B41" s="4">
        <f t="shared" si="7"/>
        <v>4</v>
      </c>
      <c r="C41" s="14">
        <f>נתונים!B43</f>
        <v>14165.964567216037</v>
      </c>
      <c r="D41" s="14">
        <f>נתונים!B27</f>
        <v>250</v>
      </c>
      <c r="E41" s="14">
        <f>INDEX(לוח_סילוקין!$F$2:$F$361,A41)</f>
        <v>2554307.2483025836</v>
      </c>
      <c r="F41" s="14">
        <f>נתונים!$B$5*(1+נתונים!$B$6)^(A41/12)</f>
        <v>3500000</v>
      </c>
      <c r="G41" s="10">
        <f t="shared" si="8"/>
        <v>945692.75169741642</v>
      </c>
      <c r="H41" s="14">
        <f>נתונים!B30*(1+נתונים!B31)^(B41-1)</f>
        <v>6897.8519999999999</v>
      </c>
      <c r="I41" s="14">
        <f>נתונים!B32*(1-נתונים!B33/12)*(1+נתונים!B31)^(B41-1)</f>
        <v>8898.6712500000012</v>
      </c>
      <c r="J41" s="10">
        <f t="shared" si="9"/>
        <v>7518.112567216037</v>
      </c>
      <c r="K41" s="10">
        <f t="shared" si="6"/>
        <v>2000.8192500000014</v>
      </c>
      <c r="L41" s="10">
        <f>L40*(1+נתונים!B44)+J41</f>
        <v>776564.82180028572</v>
      </c>
      <c r="M41" s="10">
        <f>M40*(1+נתונים!B44)+K41</f>
        <v>90410.937812470816</v>
      </c>
      <c r="N41" s="14">
        <f>F41-(נתונים!B4+נתונים!B21)</f>
        <v>290000</v>
      </c>
      <c r="O41" s="14">
        <f>MAX(0,N41)*נתונים!B36*(1-נתונים!B37)</f>
        <v>0</v>
      </c>
      <c r="P41" s="10">
        <f t="shared" si="10"/>
        <v>945692.75169741642</v>
      </c>
      <c r="Q41" s="10">
        <f t="shared" si="11"/>
        <v>1036103.6895098872</v>
      </c>
      <c r="R41" s="10">
        <f t="shared" si="12"/>
        <v>776564.82180028572</v>
      </c>
    </row>
    <row r="42" spans="1:18" x14ac:dyDescent="0.25">
      <c r="A42" s="4">
        <v>41</v>
      </c>
      <c r="B42" s="4">
        <f t="shared" si="7"/>
        <v>4</v>
      </c>
      <c r="C42" s="14">
        <f>נתונים!B43</f>
        <v>14165.964567216037</v>
      </c>
      <c r="D42" s="14">
        <f>נתונים!B27</f>
        <v>250</v>
      </c>
      <c r="E42" s="14">
        <f>INDEX(לוח_סילוקין!$F$2:$F$361,A42)</f>
        <v>2550358.5127285779</v>
      </c>
      <c r="F42" s="14">
        <f>נתונים!$B$5*(1+נתונים!$B$6)^(A42/12)</f>
        <v>3500000</v>
      </c>
      <c r="G42" s="10">
        <f t="shared" si="8"/>
        <v>949641.48727142205</v>
      </c>
      <c r="H42" s="14">
        <f>נתונים!B30*(1+נתונים!B31)^(B42-1)</f>
        <v>6897.8519999999999</v>
      </c>
      <c r="I42" s="14">
        <f>נתונים!B32*(1-נתונים!B33/12)*(1+נתונים!B31)^(B42-1)</f>
        <v>8898.6712500000012</v>
      </c>
      <c r="J42" s="10">
        <f t="shared" si="9"/>
        <v>7518.112567216037</v>
      </c>
      <c r="K42" s="10">
        <f t="shared" si="6"/>
        <v>2000.8192500000014</v>
      </c>
      <c r="L42" s="10">
        <f>L41*(1+נתונים!B44)+J42</f>
        <v>790275.37130868388</v>
      </c>
      <c r="M42" s="10">
        <f>M41*(1+נתונים!B44)+K42</f>
        <v>93132.706576896351</v>
      </c>
      <c r="N42" s="14">
        <f>F42-(נתונים!B4+נתונים!B21)</f>
        <v>290000</v>
      </c>
      <c r="O42" s="14">
        <f>MAX(0,N42)*נתונים!B36*(1-נתונים!B37)</f>
        <v>0</v>
      </c>
      <c r="P42" s="10">
        <f t="shared" si="10"/>
        <v>949641.48727142205</v>
      </c>
      <c r="Q42" s="10">
        <f t="shared" si="11"/>
        <v>1042774.1938483184</v>
      </c>
      <c r="R42" s="10">
        <f t="shared" si="12"/>
        <v>790275.37130868388</v>
      </c>
    </row>
    <row r="43" spans="1:18" x14ac:dyDescent="0.25">
      <c r="A43" s="4">
        <v>42</v>
      </c>
      <c r="B43" s="4">
        <f t="shared" si="7"/>
        <v>4</v>
      </c>
      <c r="C43" s="14">
        <f>נתונים!B43</f>
        <v>14165.964567216037</v>
      </c>
      <c r="D43" s="14">
        <f>נתונים!B27</f>
        <v>250</v>
      </c>
      <c r="E43" s="14">
        <f>INDEX(לוח_סילוקין!$F$2:$F$361,A43)</f>
        <v>2546393.9822122762</v>
      </c>
      <c r="F43" s="14">
        <f>נתונים!$B$5*(1+נתונים!$B$6)^(A43/12)</f>
        <v>3500000</v>
      </c>
      <c r="G43" s="10">
        <f t="shared" si="8"/>
        <v>953606.0177877238</v>
      </c>
      <c r="H43" s="14">
        <f>נתונים!B30*(1+נתונים!B31)^(B43-1)</f>
        <v>6897.8519999999999</v>
      </c>
      <c r="I43" s="14">
        <f>נתונים!B32*(1-נתונים!B33/12)*(1+נתונים!B31)^(B43-1)</f>
        <v>8898.6712500000012</v>
      </c>
      <c r="J43" s="10">
        <f t="shared" si="9"/>
        <v>7518.112567216037</v>
      </c>
      <c r="K43" s="10">
        <f t="shared" si="6"/>
        <v>2000.8192500000014</v>
      </c>
      <c r="L43" s="10">
        <f>L42*(1+נתונים!B44)+J43</f>
        <v>804095.25066421949</v>
      </c>
      <c r="M43" s="10">
        <f>M42*(1+נתונים!B44)+K43</f>
        <v>95876.179107664415</v>
      </c>
      <c r="N43" s="14">
        <f>F43-(נתונים!B4+נתונים!B21)</f>
        <v>290000</v>
      </c>
      <c r="O43" s="14">
        <f>MAX(0,N43)*נתונים!B36*(1-נתונים!B37)</f>
        <v>0</v>
      </c>
      <c r="P43" s="10">
        <f t="shared" si="10"/>
        <v>953606.0177877238</v>
      </c>
      <c r="Q43" s="10">
        <f t="shared" si="11"/>
        <v>1049482.1968953882</v>
      </c>
      <c r="R43" s="10">
        <f t="shared" si="12"/>
        <v>804095.25066421949</v>
      </c>
    </row>
    <row r="44" spans="1:18" x14ac:dyDescent="0.25">
      <c r="A44" s="4">
        <v>43</v>
      </c>
      <c r="B44" s="4">
        <f t="shared" si="7"/>
        <v>4</v>
      </c>
      <c r="C44" s="14">
        <f>נתונים!B43</f>
        <v>14165.964567216037</v>
      </c>
      <c r="D44" s="14">
        <f>נתונים!B27</f>
        <v>250</v>
      </c>
      <c r="E44" s="14">
        <f>INDEX(לוח_סילוקין!$F$2:$F$361,A44)</f>
        <v>2542413.5935739093</v>
      </c>
      <c r="F44" s="14">
        <f>נתונים!$B$5*(1+נתונים!$B$6)^(A44/12)</f>
        <v>3500000</v>
      </c>
      <c r="G44" s="10">
        <f t="shared" si="8"/>
        <v>957586.40642609075</v>
      </c>
      <c r="H44" s="14">
        <f>נתונים!B30*(1+נתונים!B31)^(B44-1)</f>
        <v>6897.8519999999999</v>
      </c>
      <c r="I44" s="14">
        <f>נתונים!B32*(1-נתונים!B33/12)*(1+נתונים!B31)^(B44-1)</f>
        <v>8898.6712500000012</v>
      </c>
      <c r="J44" s="10">
        <f t="shared" si="9"/>
        <v>7518.112567216037</v>
      </c>
      <c r="K44" s="10">
        <f t="shared" si="6"/>
        <v>2000.8192500000014</v>
      </c>
      <c r="L44" s="10">
        <f>L43*(1+נתונים!B44)+J44</f>
        <v>818025.33167844662</v>
      </c>
      <c r="M44" s="10">
        <f>M43*(1+נתונים!B44)+K44</f>
        <v>98641.528473655664</v>
      </c>
      <c r="N44" s="14">
        <f>F44-(נתונים!B4+נתונים!B21)</f>
        <v>290000</v>
      </c>
      <c r="O44" s="14">
        <f>MAX(0,N44)*נתונים!B36*(1-נתונים!B37)</f>
        <v>0</v>
      </c>
      <c r="P44" s="10">
        <f t="shared" si="10"/>
        <v>957586.40642609075</v>
      </c>
      <c r="Q44" s="10">
        <f t="shared" si="11"/>
        <v>1056227.9348997464</v>
      </c>
      <c r="R44" s="10">
        <f t="shared" si="12"/>
        <v>818025.33167844662</v>
      </c>
    </row>
    <row r="45" spans="1:18" x14ac:dyDescent="0.25">
      <c r="A45" s="4">
        <v>44</v>
      </c>
      <c r="B45" s="4">
        <f t="shared" si="7"/>
        <v>4</v>
      </c>
      <c r="C45" s="14">
        <f>נתונים!B43</f>
        <v>14165.964567216037</v>
      </c>
      <c r="D45" s="14">
        <f>נתונים!B27</f>
        <v>250</v>
      </c>
      <c r="E45" s="14">
        <f>INDEX(לוח_סילוקין!$F$2:$F$361,A45)</f>
        <v>2538417.283380989</v>
      </c>
      <c r="F45" s="14">
        <f>נתונים!$B$5*(1+נתונים!$B$6)^(A45/12)</f>
        <v>3500000</v>
      </c>
      <c r="G45" s="10">
        <f t="shared" si="8"/>
        <v>961582.71661901101</v>
      </c>
      <c r="H45" s="14">
        <f>נתונים!B30*(1+נתונים!B31)^(B45-1)</f>
        <v>6897.8519999999999</v>
      </c>
      <c r="I45" s="14">
        <f>נתונים!B32*(1-נתונים!B33/12)*(1+נתונים!B31)^(B45-1)</f>
        <v>8898.6712500000012</v>
      </c>
      <c r="J45" s="10">
        <f t="shared" si="9"/>
        <v>7518.112567216037</v>
      </c>
      <c r="K45" s="10">
        <f t="shared" si="6"/>
        <v>2000.8192500000014</v>
      </c>
      <c r="L45" s="10">
        <f>L44*(1+נתונים!B44)+J45</f>
        <v>832066.49311486713</v>
      </c>
      <c r="M45" s="10">
        <f>M44*(1+נתונים!B44)+K45</f>
        <v>101428.92912382631</v>
      </c>
      <c r="N45" s="14">
        <f>F45-(נתונים!B4+נתונים!B21)</f>
        <v>290000</v>
      </c>
      <c r="O45" s="14">
        <f>MAX(0,N45)*נתונים!B36*(1-נתונים!B37)</f>
        <v>0</v>
      </c>
      <c r="P45" s="10">
        <f t="shared" si="10"/>
        <v>961582.71661901101</v>
      </c>
      <c r="Q45" s="10">
        <f t="shared" si="11"/>
        <v>1063011.6457428373</v>
      </c>
      <c r="R45" s="10">
        <f t="shared" si="12"/>
        <v>832066.49311486713</v>
      </c>
    </row>
    <row r="46" spans="1:18" x14ac:dyDescent="0.25">
      <c r="A46" s="4">
        <v>45</v>
      </c>
      <c r="B46" s="4">
        <f t="shared" si="7"/>
        <v>4</v>
      </c>
      <c r="C46" s="14">
        <f>נתונים!B43</f>
        <v>14165.964567216037</v>
      </c>
      <c r="D46" s="14">
        <f>נתונים!B27</f>
        <v>250</v>
      </c>
      <c r="E46" s="14">
        <f>INDEX(לוח_סילוקין!$F$2:$F$361,A46)</f>
        <v>2534404.9879472968</v>
      </c>
      <c r="F46" s="14">
        <f>נתונים!$B$5*(1+נתונים!$B$6)^(A46/12)</f>
        <v>3500000</v>
      </c>
      <c r="G46" s="10">
        <f t="shared" si="8"/>
        <v>965595.01205270318</v>
      </c>
      <c r="H46" s="14">
        <f>נתונים!B30*(1+נתונים!B31)^(B46-1)</f>
        <v>6897.8519999999999</v>
      </c>
      <c r="I46" s="14">
        <f>נתונים!B32*(1-נתונים!B33/12)*(1+נתונים!B31)^(B46-1)</f>
        <v>8898.6712500000012</v>
      </c>
      <c r="J46" s="10">
        <f t="shared" si="9"/>
        <v>7518.112567216037</v>
      </c>
      <c r="K46" s="10">
        <f t="shared" si="6"/>
        <v>2000.8192500000014</v>
      </c>
      <c r="L46" s="10">
        <f>L45*(1+נתונים!B44)+J46</f>
        <v>846219.62074436666</v>
      </c>
      <c r="M46" s="10">
        <f>M45*(1+נתונים!B44)+K46</f>
        <v>104238.55689821304</v>
      </c>
      <c r="N46" s="14">
        <f>F46-(נתונים!B4+נתונים!B21)</f>
        <v>290000</v>
      </c>
      <c r="O46" s="14">
        <f>MAX(0,N46)*נתונים!B36*(1-נתונים!B37)</f>
        <v>0</v>
      </c>
      <c r="P46" s="10">
        <f t="shared" si="10"/>
        <v>965595.01205270318</v>
      </c>
      <c r="Q46" s="10">
        <f t="shared" si="11"/>
        <v>1069833.5689509162</v>
      </c>
      <c r="R46" s="10">
        <f t="shared" si="12"/>
        <v>846219.62074436666</v>
      </c>
    </row>
    <row r="47" spans="1:18" x14ac:dyDescent="0.25">
      <c r="A47" s="4">
        <v>46</v>
      </c>
      <c r="B47" s="4">
        <f t="shared" si="7"/>
        <v>4</v>
      </c>
      <c r="C47" s="14">
        <f>נתונים!B43</f>
        <v>14165.964567216037</v>
      </c>
      <c r="D47" s="14">
        <f>נתונים!B27</f>
        <v>250</v>
      </c>
      <c r="E47" s="14">
        <f>INDEX(לוח_סילוקין!$F$2:$F$361,A47)</f>
        <v>2530376.64333187</v>
      </c>
      <c r="F47" s="14">
        <f>נתונים!$B$5*(1+נתונים!$B$6)^(A47/12)</f>
        <v>3500000</v>
      </c>
      <c r="G47" s="10">
        <f t="shared" si="8"/>
        <v>969623.35666813003</v>
      </c>
      <c r="H47" s="14">
        <f>נתונים!B30*(1+נתונים!B31)^(B47-1)</f>
        <v>6897.8519999999999</v>
      </c>
      <c r="I47" s="14">
        <f>נתונים!B32*(1-נתונים!B33/12)*(1+נתונים!B31)^(B47-1)</f>
        <v>8898.6712500000012</v>
      </c>
      <c r="J47" s="10">
        <f t="shared" si="9"/>
        <v>7518.112567216037</v>
      </c>
      <c r="K47" s="10">
        <f t="shared" si="6"/>
        <v>2000.8192500000014</v>
      </c>
      <c r="L47" s="10">
        <f>L46*(1+נתונים!B44)+J47</f>
        <v>860485.60740109195</v>
      </c>
      <c r="M47" s="10">
        <f>M46*(1+נתונים!B44)+K47</f>
        <v>107070.58903902567</v>
      </c>
      <c r="N47" s="14">
        <f>F47-(נתונים!B4+נתונים!B21)</f>
        <v>290000</v>
      </c>
      <c r="O47" s="14">
        <f>MAX(0,N47)*נתונים!B36*(1-נתונים!B37)</f>
        <v>0</v>
      </c>
      <c r="P47" s="10">
        <f t="shared" si="10"/>
        <v>969623.35666813003</v>
      </c>
      <c r="Q47" s="10">
        <f t="shared" si="11"/>
        <v>1076693.9457071556</v>
      </c>
      <c r="R47" s="10">
        <f t="shared" si="12"/>
        <v>860485.60740109195</v>
      </c>
    </row>
    <row r="48" spans="1:18" x14ac:dyDescent="0.25">
      <c r="A48" s="4">
        <v>47</v>
      </c>
      <c r="B48" s="4">
        <f t="shared" si="7"/>
        <v>4</v>
      </c>
      <c r="C48" s="14">
        <f>נתונים!B43</f>
        <v>14165.964567216037</v>
      </c>
      <c r="D48" s="14">
        <f>נתונים!B27</f>
        <v>250</v>
      </c>
      <c r="E48" s="14">
        <f>INDEX(לוח_סילוקין!$F$2:$F$361,A48)</f>
        <v>2526332.1853379812</v>
      </c>
      <c r="F48" s="14">
        <f>נתונים!$B$5*(1+נתונים!$B$6)^(A48/12)</f>
        <v>3500000</v>
      </c>
      <c r="G48" s="10">
        <f t="shared" si="8"/>
        <v>973667.81466201879</v>
      </c>
      <c r="H48" s="14">
        <f>נתונים!B30*(1+נתונים!B31)^(B48-1)</f>
        <v>6897.8519999999999</v>
      </c>
      <c r="I48" s="14">
        <f>נתונים!B32*(1-נתונים!B33/12)*(1+נתונים!B31)^(B48-1)</f>
        <v>8898.6712500000012</v>
      </c>
      <c r="J48" s="10">
        <f t="shared" si="9"/>
        <v>7518.112567216037</v>
      </c>
      <c r="K48" s="10">
        <f t="shared" si="6"/>
        <v>2000.8192500000014</v>
      </c>
      <c r="L48" s="10">
        <f>L47*(1+נתונים!B44)+J48</f>
        <v>874865.3530387748</v>
      </c>
      <c r="M48" s="10">
        <f>M47*(1+נתונים!B44)+K48</f>
        <v>109925.20420182831</v>
      </c>
      <c r="N48" s="14">
        <f>F48-(נתונים!B4+נתונים!B21)</f>
        <v>290000</v>
      </c>
      <c r="O48" s="14">
        <f>MAX(0,N48)*נתונים!B36*(1-נתונים!B37)</f>
        <v>0</v>
      </c>
      <c r="P48" s="10">
        <f t="shared" si="10"/>
        <v>973667.81466201879</v>
      </c>
      <c r="Q48" s="10">
        <f t="shared" si="11"/>
        <v>1083593.018863847</v>
      </c>
      <c r="R48" s="10">
        <f t="shared" si="12"/>
        <v>874865.3530387748</v>
      </c>
    </row>
    <row r="49" spans="1:18" x14ac:dyDescent="0.25">
      <c r="A49" s="4">
        <v>48</v>
      </c>
      <c r="B49" s="4">
        <f t="shared" si="7"/>
        <v>4</v>
      </c>
      <c r="C49" s="14">
        <f>נתונים!B43</f>
        <v>14165.964567216037</v>
      </c>
      <c r="D49" s="14">
        <f>נתונים!B27</f>
        <v>250</v>
      </c>
      <c r="E49" s="14">
        <f>INDEX(לוח_סילוקין!$F$2:$F$361,A49)</f>
        <v>2522271.5495121172</v>
      </c>
      <c r="F49" s="14">
        <f>נתונים!$B$5*(1+נתונים!$B$6)^(A49/12)</f>
        <v>3500000</v>
      </c>
      <c r="G49" s="10">
        <f t="shared" si="8"/>
        <v>977728.45048788283</v>
      </c>
      <c r="H49" s="14">
        <f>נתונים!B30*(1+נתונים!B31)^(B49-1)</f>
        <v>6897.8519999999999</v>
      </c>
      <c r="I49" s="14">
        <f>נתונים!B32*(1-נתונים!B33/12)*(1+נתונים!B31)^(B49-1)</f>
        <v>8898.6712500000012</v>
      </c>
      <c r="J49" s="10">
        <f t="shared" si="9"/>
        <v>7518.112567216037</v>
      </c>
      <c r="K49" s="10">
        <f t="shared" si="6"/>
        <v>2000.8192500000014</v>
      </c>
      <c r="L49" s="10">
        <f>L48*(1+נתונים!B44)+J49</f>
        <v>889359.76478750445</v>
      </c>
      <c r="M49" s="10">
        <f>M48*(1+נתונים!B44)+K49</f>
        <v>112802.58246680962</v>
      </c>
      <c r="N49" s="14">
        <f>F49-(נתונים!B4+נתונים!B21)</f>
        <v>290000</v>
      </c>
      <c r="O49" s="14">
        <f>MAX(0,N49)*נתונים!B36*(1-נתונים!B37)</f>
        <v>0</v>
      </c>
      <c r="P49" s="10">
        <f t="shared" si="10"/>
        <v>977728.45048788283</v>
      </c>
      <c r="Q49" s="10">
        <f t="shared" si="11"/>
        <v>1090531.0329546924</v>
      </c>
      <c r="R49" s="10">
        <f t="shared" si="12"/>
        <v>889359.76478750445</v>
      </c>
    </row>
    <row r="50" spans="1:18" x14ac:dyDescent="0.25">
      <c r="A50" s="4">
        <v>49</v>
      </c>
      <c r="B50" s="4">
        <f t="shared" si="7"/>
        <v>5</v>
      </c>
      <c r="C50" s="14">
        <f>נתונים!B43</f>
        <v>14165.964567216037</v>
      </c>
      <c r="D50" s="14">
        <f>נתונים!B27</f>
        <v>250</v>
      </c>
      <c r="E50" s="14">
        <f>INDEX(לוח_סילוקין!$F$2:$F$361,A50)</f>
        <v>2518194.6711429497</v>
      </c>
      <c r="F50" s="14">
        <f>נתונים!$B$5*(1+נתונים!$B$6)^(A50/12)</f>
        <v>3500000</v>
      </c>
      <c r="G50" s="10">
        <f t="shared" si="8"/>
        <v>981805.32885705028</v>
      </c>
      <c r="H50" s="14">
        <f>נתונים!B30*(1+נתונים!B31)^(B50-1)</f>
        <v>7035.8090400000001</v>
      </c>
      <c r="I50" s="14">
        <f>נתונים!B32*(1-נתונים!B33/12)*(1+נתונים!B31)^(B50-1)</f>
        <v>9076.6446750000014</v>
      </c>
      <c r="J50" s="10">
        <f t="shared" si="9"/>
        <v>7380.1555272160367</v>
      </c>
      <c r="K50" s="10">
        <f t="shared" si="6"/>
        <v>2040.8356350000013</v>
      </c>
      <c r="L50" s="10">
        <f>L49*(1+נתונים!B44)+J50</f>
        <v>903831.79997095291</v>
      </c>
      <c r="M50" s="10">
        <f>M49*(1+נתונים!B44)+K50</f>
        <v>115742.92173514295</v>
      </c>
      <c r="N50" s="14">
        <f>F50-(נתונים!B4+נתונים!B21)</f>
        <v>290000</v>
      </c>
      <c r="O50" s="14">
        <f>MAX(0,N50)*נתונים!B36*(1-נתונים!B37)</f>
        <v>0</v>
      </c>
      <c r="P50" s="10">
        <f t="shared" si="10"/>
        <v>981805.32885705028</v>
      </c>
      <c r="Q50" s="10">
        <f t="shared" si="11"/>
        <v>1097548.2505921933</v>
      </c>
      <c r="R50" s="10">
        <f t="shared" si="12"/>
        <v>903831.79997095291</v>
      </c>
    </row>
    <row r="51" spans="1:18" x14ac:dyDescent="0.25">
      <c r="A51" s="4">
        <v>50</v>
      </c>
      <c r="B51" s="4">
        <f t="shared" si="7"/>
        <v>5</v>
      </c>
      <c r="C51" s="14">
        <f>נתונים!B43</f>
        <v>14165.964567216037</v>
      </c>
      <c r="D51" s="14">
        <f>נתונים!B27</f>
        <v>250</v>
      </c>
      <c r="E51" s="14">
        <f>INDEX(לוח_סילוקין!$F$2:$F$361,A51)</f>
        <v>2514101.4852603055</v>
      </c>
      <c r="F51" s="14">
        <f>נתונים!$B$5*(1+נתונים!$B$6)^(A51/12)</f>
        <v>3500000</v>
      </c>
      <c r="G51" s="10">
        <f t="shared" si="8"/>
        <v>985898.51473969454</v>
      </c>
      <c r="H51" s="14">
        <f>נתונים!B30*(1+נתונים!B31)^(B51-1)</f>
        <v>7035.8090400000001</v>
      </c>
      <c r="I51" s="14">
        <f>נתונים!B32*(1-נתונים!B33/12)*(1+נתונים!B31)^(B51-1)</f>
        <v>9076.6446750000014</v>
      </c>
      <c r="J51" s="10">
        <f t="shared" si="9"/>
        <v>7380.1555272160367</v>
      </c>
      <c r="K51" s="10">
        <f t="shared" si="6"/>
        <v>2040.8356350000013</v>
      </c>
      <c r="L51" s="10">
        <f>L50*(1+נתונים!B44)+J51</f>
        <v>918419.23719524615</v>
      </c>
      <c r="M51" s="10">
        <f>M50*(1+נתונים!B44)+K51</f>
        <v>118706.7076817106</v>
      </c>
      <c r="N51" s="14">
        <f>F51-(נתונים!B4+נתונים!B21)</f>
        <v>290000</v>
      </c>
      <c r="O51" s="14">
        <f>MAX(0,N51)*נתונים!B36*(1-נתונים!B37)</f>
        <v>0</v>
      </c>
      <c r="P51" s="10">
        <f t="shared" si="10"/>
        <v>985898.51473969454</v>
      </c>
      <c r="Q51" s="10">
        <f t="shared" si="11"/>
        <v>1104605.2224214051</v>
      </c>
      <c r="R51" s="10">
        <f t="shared" si="12"/>
        <v>918419.23719524615</v>
      </c>
    </row>
    <row r="52" spans="1:18" x14ac:dyDescent="0.25">
      <c r="A52" s="4">
        <v>51</v>
      </c>
      <c r="B52" s="4">
        <f t="shared" si="7"/>
        <v>5</v>
      </c>
      <c r="C52" s="14">
        <f>נתונים!B43</f>
        <v>14165.964567216037</v>
      </c>
      <c r="D52" s="14">
        <f>נתונים!B27</f>
        <v>250</v>
      </c>
      <c r="E52" s="14">
        <f>INDEX(לוח_סילוקין!$F$2:$F$361,A52)</f>
        <v>2509991.9266341305</v>
      </c>
      <c r="F52" s="14">
        <f>נתונים!$B$5*(1+נתונים!$B$6)^(A52/12)</f>
        <v>3500000</v>
      </c>
      <c r="G52" s="10">
        <f t="shared" si="8"/>
        <v>990008.07336586947</v>
      </c>
      <c r="H52" s="14">
        <f>נתונים!B30*(1+נתונים!B31)^(B52-1)</f>
        <v>7035.8090400000001</v>
      </c>
      <c r="I52" s="14">
        <f>נתונים!B32*(1-נתונים!B33/12)*(1+נתונים!B31)^(B52-1)</f>
        <v>9076.6446750000014</v>
      </c>
      <c r="J52" s="10">
        <f t="shared" si="9"/>
        <v>7380.1555272160367</v>
      </c>
      <c r="K52" s="10">
        <f t="shared" si="6"/>
        <v>2040.8356350000013</v>
      </c>
      <c r="L52" s="10">
        <f>L51*(1+נתונים!B44)+J52</f>
        <v>933122.99669246376</v>
      </c>
      <c r="M52" s="10">
        <f>M51*(1+נתונים!B44)+K52</f>
        <v>121694.12727361739</v>
      </c>
      <c r="N52" s="14">
        <f>F52-(נתונים!B4+נתונים!B21)</f>
        <v>290000</v>
      </c>
      <c r="O52" s="14">
        <f>MAX(0,N52)*נתונים!B36*(1-נתונים!B37)</f>
        <v>0</v>
      </c>
      <c r="P52" s="10">
        <f t="shared" si="10"/>
        <v>990008.07336586947</v>
      </c>
      <c r="Q52" s="10">
        <f t="shared" si="11"/>
        <v>1111702.2006394868</v>
      </c>
      <c r="R52" s="10">
        <f t="shared" si="12"/>
        <v>933122.99669246376</v>
      </c>
    </row>
    <row r="53" spans="1:18" x14ac:dyDescent="0.25">
      <c r="A53" s="4">
        <v>52</v>
      </c>
      <c r="B53" s="4">
        <f t="shared" si="7"/>
        <v>5</v>
      </c>
      <c r="C53" s="14">
        <f>נתונים!B43</f>
        <v>14165.964567216037</v>
      </c>
      <c r="D53" s="14">
        <f>נתונים!B27</f>
        <v>250</v>
      </c>
      <c r="E53" s="14">
        <f>INDEX(לוח_סילוקין!$F$2:$F$361,A53)</f>
        <v>2505865.9297734508</v>
      </c>
      <c r="F53" s="14">
        <f>נתונים!$B$5*(1+נתונים!$B$6)^(A53/12)</f>
        <v>3500000</v>
      </c>
      <c r="G53" s="10">
        <f t="shared" si="8"/>
        <v>994134.07022654917</v>
      </c>
      <c r="H53" s="14">
        <f>נתונים!B30*(1+נתונים!B31)^(B53-1)</f>
        <v>7035.8090400000001</v>
      </c>
      <c r="I53" s="14">
        <f>נתונים!B32*(1-נתונים!B33/12)*(1+נתונים!B31)^(B53-1)</f>
        <v>9076.6446750000014</v>
      </c>
      <c r="J53" s="10">
        <f t="shared" si="9"/>
        <v>7380.1555272160367</v>
      </c>
      <c r="K53" s="10">
        <f t="shared" si="6"/>
        <v>2040.8356350000013</v>
      </c>
      <c r="L53" s="10">
        <f>L52*(1+נתונים!B44)+J53</f>
        <v>947944.006032745</v>
      </c>
      <c r="M53" s="10">
        <f>M52*(1+נתונים!B44)+K53</f>
        <v>124705.3689688701</v>
      </c>
      <c r="N53" s="14">
        <f>F53-(נתונים!B4+נתונים!B21)</f>
        <v>290000</v>
      </c>
      <c r="O53" s="14">
        <f>MAX(0,N53)*נתונים!B36*(1-נתונים!B37)</f>
        <v>0</v>
      </c>
      <c r="P53" s="10">
        <f t="shared" si="10"/>
        <v>994134.07022654917</v>
      </c>
      <c r="Q53" s="10">
        <f t="shared" si="11"/>
        <v>1118839.4391954192</v>
      </c>
      <c r="R53" s="10">
        <f t="shared" si="12"/>
        <v>947944.006032745</v>
      </c>
    </row>
    <row r="54" spans="1:18" x14ac:dyDescent="0.25">
      <c r="A54" s="4">
        <v>53</v>
      </c>
      <c r="B54" s="4">
        <f t="shared" si="7"/>
        <v>5</v>
      </c>
      <c r="C54" s="14">
        <f>נתונים!B43</f>
        <v>14165.964567216037</v>
      </c>
      <c r="D54" s="14">
        <f>נתונים!B27</f>
        <v>250</v>
      </c>
      <c r="E54" s="14">
        <f>INDEX(לוח_סילוקין!$F$2:$F$361,A54)</f>
        <v>2501723.4289253284</v>
      </c>
      <c r="F54" s="14">
        <f>נתונים!$B$5*(1+נתונים!$B$6)^(A54/12)</f>
        <v>3500000</v>
      </c>
      <c r="G54" s="10">
        <f t="shared" si="8"/>
        <v>998276.57107467158</v>
      </c>
      <c r="H54" s="14">
        <f>נתונים!B30*(1+נתונים!B31)^(B54-1)</f>
        <v>7035.8090400000001</v>
      </c>
      <c r="I54" s="14">
        <f>נתונים!B32*(1-נתונים!B33/12)*(1+נתונים!B31)^(B54-1)</f>
        <v>9076.6446750000014</v>
      </c>
      <c r="J54" s="10">
        <f t="shared" si="9"/>
        <v>7380.1555272160367</v>
      </c>
      <c r="K54" s="10">
        <f t="shared" si="6"/>
        <v>2040.8356350000013</v>
      </c>
      <c r="L54" s="10">
        <f>L53*(1+נתונים!B44)+J54</f>
        <v>962883.20018280379</v>
      </c>
      <c r="M54" s="10">
        <f>M53*(1+נתונים!B44)+K54</f>
        <v>127740.62272826613</v>
      </c>
      <c r="N54" s="14">
        <f>F54-(נתונים!B4+נתונים!B21)</f>
        <v>290000</v>
      </c>
      <c r="O54" s="14">
        <f>MAX(0,N54)*נתונים!B36*(1-נתונים!B37)</f>
        <v>0</v>
      </c>
      <c r="P54" s="10">
        <f t="shared" si="10"/>
        <v>998276.57107467158</v>
      </c>
      <c r="Q54" s="10">
        <f t="shared" si="11"/>
        <v>1126017.1938029376</v>
      </c>
      <c r="R54" s="10">
        <f t="shared" si="12"/>
        <v>962883.20018280379</v>
      </c>
    </row>
    <row r="55" spans="1:18" x14ac:dyDescent="0.25">
      <c r="A55" s="4">
        <v>54</v>
      </c>
      <c r="B55" s="4">
        <f t="shared" si="7"/>
        <v>5</v>
      </c>
      <c r="C55" s="14">
        <f>נתונים!B43</f>
        <v>14165.964567216037</v>
      </c>
      <c r="D55" s="14">
        <f>נתונים!B27</f>
        <v>250</v>
      </c>
      <c r="E55" s="14">
        <f>INDEX(לוח_סילוקין!$F$2:$F$361,A55)</f>
        <v>2497564.3580738138</v>
      </c>
      <c r="F55" s="14">
        <f>נתונים!$B$5*(1+נתונים!$B$6)^(A55/12)</f>
        <v>3500000</v>
      </c>
      <c r="G55" s="10">
        <f t="shared" si="8"/>
        <v>1002435.6419261862</v>
      </c>
      <c r="H55" s="14">
        <f>נתונים!B30*(1+נתונים!B31)^(B55-1)</f>
        <v>7035.8090400000001</v>
      </c>
      <c r="I55" s="14">
        <f>נתונים!B32*(1-נתונים!B33/12)*(1+נתונים!B31)^(B55-1)</f>
        <v>9076.6446750000014</v>
      </c>
      <c r="J55" s="10">
        <f t="shared" si="9"/>
        <v>7380.1555272160367</v>
      </c>
      <c r="K55" s="10">
        <f t="shared" si="6"/>
        <v>2040.8356350000013</v>
      </c>
      <c r="L55" s="10">
        <f>L54*(1+נתונים!B44)+J55</f>
        <v>977941.52156490972</v>
      </c>
      <c r="M55" s="10">
        <f>M54*(1+נתונים!B44)+K55</f>
        <v>130800.08002737693</v>
      </c>
      <c r="N55" s="14">
        <f>F55-(נתונים!B4+נתונים!B21)</f>
        <v>290000</v>
      </c>
      <c r="O55" s="14">
        <f>MAX(0,N55)*נתונים!B36*(1-נתונים!B37)</f>
        <v>0</v>
      </c>
      <c r="P55" s="10">
        <f t="shared" si="10"/>
        <v>1002435.6419261862</v>
      </c>
      <c r="Q55" s="10">
        <f t="shared" si="11"/>
        <v>1133235.7219535632</v>
      </c>
      <c r="R55" s="10">
        <f t="shared" si="12"/>
        <v>977941.52156490972</v>
      </c>
    </row>
    <row r="56" spans="1:18" x14ac:dyDescent="0.25">
      <c r="A56" s="4">
        <v>55</v>
      </c>
      <c r="B56" s="4">
        <f t="shared" si="7"/>
        <v>5</v>
      </c>
      <c r="C56" s="14">
        <f>נתונים!B43</f>
        <v>14165.964567216037</v>
      </c>
      <c r="D56" s="14">
        <f>נתונים!B27</f>
        <v>250</v>
      </c>
      <c r="E56" s="14">
        <f>INDEX(לוח_סילוקין!$F$2:$F$361,A56)</f>
        <v>2493388.6509388932</v>
      </c>
      <c r="F56" s="14">
        <f>נתונים!$B$5*(1+נתונים!$B$6)^(A56/12)</f>
        <v>3500000</v>
      </c>
      <c r="G56" s="10">
        <f t="shared" si="8"/>
        <v>1006611.3490611068</v>
      </c>
      <c r="H56" s="14">
        <f>נתונים!B30*(1+נתונים!B31)^(B56-1)</f>
        <v>7035.8090400000001</v>
      </c>
      <c r="I56" s="14">
        <f>נתונים!B32*(1-נתונים!B33/12)*(1+נתונים!B31)^(B56-1)</f>
        <v>9076.6446750000014</v>
      </c>
      <c r="J56" s="10">
        <f t="shared" si="9"/>
        <v>7380.1555272160367</v>
      </c>
      <c r="K56" s="10">
        <f t="shared" si="6"/>
        <v>2040.8356350000013</v>
      </c>
      <c r="L56" s="10">
        <f>L55*(1+נתונים!B44)+J56</f>
        <v>993119.92011634016</v>
      </c>
      <c r="M56" s="10">
        <f>M55*(1+נתונים!B44)+K56</f>
        <v>133883.93386862706</v>
      </c>
      <c r="N56" s="14">
        <f>F56-(נתונים!B4+נתונים!B21)</f>
        <v>290000</v>
      </c>
      <c r="O56" s="14">
        <f>MAX(0,N56)*נתונים!B36*(1-נתונים!B37)</f>
        <v>0</v>
      </c>
      <c r="P56" s="10">
        <f t="shared" si="10"/>
        <v>1006611.3490611068</v>
      </c>
      <c r="Q56" s="10">
        <f t="shared" si="11"/>
        <v>1140495.2829297339</v>
      </c>
      <c r="R56" s="10">
        <f t="shared" si="12"/>
        <v>993119.92011634016</v>
      </c>
    </row>
    <row r="57" spans="1:18" x14ac:dyDescent="0.25">
      <c r="A57" s="4">
        <v>56</v>
      </c>
      <c r="B57" s="4">
        <f t="shared" si="7"/>
        <v>5</v>
      </c>
      <c r="C57" s="14">
        <f>נתונים!B43</f>
        <v>14165.964567216037</v>
      </c>
      <c r="D57" s="14">
        <f>נתונים!B27</f>
        <v>250</v>
      </c>
      <c r="E57" s="14">
        <f>INDEX(לוח_סילוקין!$F$2:$F$361,A57)</f>
        <v>2489196.2409754326</v>
      </c>
      <c r="F57" s="14">
        <f>נתונים!$B$5*(1+נתונים!$B$6)^(A57/12)</f>
        <v>3500000</v>
      </c>
      <c r="G57" s="10">
        <f t="shared" si="8"/>
        <v>1010803.7590245674</v>
      </c>
      <c r="H57" s="14">
        <f>נתונים!B30*(1+נתונים!B31)^(B57-1)</f>
        <v>7035.8090400000001</v>
      </c>
      <c r="I57" s="14">
        <f>נתונים!B32*(1-נתונים!B33/12)*(1+נתונים!B31)^(B57-1)</f>
        <v>9076.6446750000014</v>
      </c>
      <c r="J57" s="10">
        <f t="shared" si="9"/>
        <v>7380.1555272160367</v>
      </c>
      <c r="K57" s="10">
        <f t="shared" si="6"/>
        <v>2040.8356350000013</v>
      </c>
      <c r="L57" s="10">
        <f>L56*(1+נתונים!B44)+J57</f>
        <v>1008419.3533493056</v>
      </c>
      <c r="M57" s="10">
        <f>M56*(1+נתונים!B44)+K57</f>
        <v>136992.37879346954</v>
      </c>
      <c r="N57" s="14">
        <f>F57-(נתונים!B4+נתונים!B21)</f>
        <v>290000</v>
      </c>
      <c r="O57" s="14">
        <f>MAX(0,N57)*נתונים!B36*(1-נתונים!B37)</f>
        <v>0</v>
      </c>
      <c r="P57" s="10">
        <f t="shared" si="10"/>
        <v>1010803.7590245674</v>
      </c>
      <c r="Q57" s="10">
        <f t="shared" si="11"/>
        <v>1147796.1378180371</v>
      </c>
      <c r="R57" s="10">
        <f t="shared" si="12"/>
        <v>1008419.3533493056</v>
      </c>
    </row>
    <row r="58" spans="1:18" x14ac:dyDescent="0.25">
      <c r="A58" s="4">
        <v>57</v>
      </c>
      <c r="B58" s="4">
        <f t="shared" si="7"/>
        <v>5</v>
      </c>
      <c r="C58" s="14">
        <f>נתונים!B43</f>
        <v>14165.964567216037</v>
      </c>
      <c r="D58" s="14">
        <f>נתונים!B27</f>
        <v>250</v>
      </c>
      <c r="E58" s="14">
        <f>INDEX(לוח_סילוקין!$F$2:$F$361,A58)</f>
        <v>2484987.0613721181</v>
      </c>
      <c r="F58" s="14">
        <f>נתונים!$B$5*(1+נתונים!$B$6)^(A58/12)</f>
        <v>3500000</v>
      </c>
      <c r="G58" s="10">
        <f t="shared" si="8"/>
        <v>1015012.9386278819</v>
      </c>
      <c r="H58" s="14">
        <f>נתונים!B30*(1+נתונים!B31)^(B58-1)</f>
        <v>7035.8090400000001</v>
      </c>
      <c r="I58" s="14">
        <f>נתונים!B32*(1-נתונים!B33/12)*(1+נתונים!B31)^(B58-1)</f>
        <v>9076.6446750000014</v>
      </c>
      <c r="J58" s="10">
        <f t="shared" si="9"/>
        <v>7380.1555272160367</v>
      </c>
      <c r="K58" s="10">
        <f t="shared" si="6"/>
        <v>2040.8356350000013</v>
      </c>
      <c r="L58" s="10">
        <f>L57*(1+נתונים!B44)+J58</f>
        <v>1023840.7864113533</v>
      </c>
      <c r="M58" s="10">
        <f>M57*(1+נתונים!B44)+K58</f>
        <v>140125.61089465825</v>
      </c>
      <c r="N58" s="14">
        <f>F58-(נתונים!B4+נתונים!B21)</f>
        <v>290000</v>
      </c>
      <c r="O58" s="14">
        <f>MAX(0,N58)*נתונים!B36*(1-נתונים!B37)</f>
        <v>0</v>
      </c>
      <c r="P58" s="10">
        <f t="shared" si="10"/>
        <v>1015012.9386278819</v>
      </c>
      <c r="Q58" s="10">
        <f t="shared" si="11"/>
        <v>1155138.5495225401</v>
      </c>
      <c r="R58" s="10">
        <f t="shared" si="12"/>
        <v>1023840.7864113533</v>
      </c>
    </row>
    <row r="59" spans="1:18" x14ac:dyDescent="0.25">
      <c r="A59" s="4">
        <v>58</v>
      </c>
      <c r="B59" s="4">
        <f t="shared" si="7"/>
        <v>5</v>
      </c>
      <c r="C59" s="14">
        <f>נתונים!B43</f>
        <v>14165.964567216037</v>
      </c>
      <c r="D59" s="14">
        <f>נתונים!B27</f>
        <v>250</v>
      </c>
      <c r="E59" s="14">
        <f>INDEX(לוח_סילוקין!$F$2:$F$361,A59)</f>
        <v>2480761.0450503905</v>
      </c>
      <c r="F59" s="14">
        <f>נתונים!$B$5*(1+נתונים!$B$6)^(A59/12)</f>
        <v>3500000</v>
      </c>
      <c r="G59" s="10">
        <f t="shared" si="8"/>
        <v>1019238.9549496095</v>
      </c>
      <c r="H59" s="14">
        <f>נתונים!B30*(1+נתונים!B31)^(B59-1)</f>
        <v>7035.8090400000001</v>
      </c>
      <c r="I59" s="14">
        <f>נתונים!B32*(1-נתונים!B33/12)*(1+נתונים!B31)^(B59-1)</f>
        <v>9076.6446750000014</v>
      </c>
      <c r="J59" s="10">
        <f t="shared" si="9"/>
        <v>7380.1555272160367</v>
      </c>
      <c r="K59" s="10">
        <f t="shared" si="6"/>
        <v>2040.8356350000013</v>
      </c>
      <c r="L59" s="10">
        <f>L58*(1+נתונים!B44)+J59</f>
        <v>1039385.1921462527</v>
      </c>
      <c r="M59" s="10">
        <f>M58*(1+נתונים!B44)+K59</f>
        <v>143283.82782861817</v>
      </c>
      <c r="N59" s="14">
        <f>F59-(נתונים!B4+נתונים!B21)</f>
        <v>290000</v>
      </c>
      <c r="O59" s="14">
        <f>MAX(0,N59)*נתונים!B36*(1-נתונים!B37)</f>
        <v>0</v>
      </c>
      <c r="P59" s="10">
        <f t="shared" si="10"/>
        <v>1019238.9549496095</v>
      </c>
      <c r="Q59" s="10">
        <f t="shared" si="11"/>
        <v>1162522.7827782277</v>
      </c>
      <c r="R59" s="10">
        <f t="shared" si="12"/>
        <v>1039385.1921462527</v>
      </c>
    </row>
    <row r="60" spans="1:18" x14ac:dyDescent="0.25">
      <c r="A60" s="4">
        <v>59</v>
      </c>
      <c r="B60" s="4">
        <f t="shared" si="7"/>
        <v>5</v>
      </c>
      <c r="C60" s="14">
        <f>נתונים!B43</f>
        <v>14165.964567216037</v>
      </c>
      <c r="D60" s="14">
        <f>נתונים!B27</f>
        <v>250</v>
      </c>
      <c r="E60" s="14">
        <f>INDEX(לוח_סילוקין!$F$2:$F$361,A60)</f>
        <v>2476518.1246633762</v>
      </c>
      <c r="F60" s="14">
        <f>נתונים!$B$5*(1+נתונים!$B$6)^(A60/12)</f>
        <v>3500000</v>
      </c>
      <c r="G60" s="10">
        <f t="shared" si="8"/>
        <v>1023481.8753366238</v>
      </c>
      <c r="H60" s="14">
        <f>נתונים!B30*(1+נתונים!B31)^(B60-1)</f>
        <v>7035.8090400000001</v>
      </c>
      <c r="I60" s="14">
        <f>נתונים!B32*(1-נתונים!B33/12)*(1+נתונים!B31)^(B60-1)</f>
        <v>9076.6446750000014</v>
      </c>
      <c r="J60" s="10">
        <f t="shared" si="9"/>
        <v>7380.1555272160367</v>
      </c>
      <c r="K60" s="10">
        <f t="shared" si="6"/>
        <v>2040.8356350000013</v>
      </c>
      <c r="L60" s="10">
        <f>L59*(1+נתונים!B44)+J60</f>
        <v>1055053.5511553662</v>
      </c>
      <c r="M60" s="10">
        <f>M59*(1+נתונים!B44)+K60</f>
        <v>146467.22882791443</v>
      </c>
      <c r="N60" s="14">
        <f>F60-(נתונים!B4+נתונים!B21)</f>
        <v>290000</v>
      </c>
      <c r="O60" s="14">
        <f>MAX(0,N60)*נתונים!B36*(1-נתונים!B37)</f>
        <v>0</v>
      </c>
      <c r="P60" s="10">
        <f t="shared" si="10"/>
        <v>1023481.8753366238</v>
      </c>
      <c r="Q60" s="10">
        <f t="shared" si="11"/>
        <v>1169949.1041645382</v>
      </c>
      <c r="R60" s="10">
        <f t="shared" si="12"/>
        <v>1055053.5511553662</v>
      </c>
    </row>
    <row r="61" spans="1:18" x14ac:dyDescent="0.25">
      <c r="A61" s="4">
        <v>60</v>
      </c>
      <c r="B61" s="4">
        <f t="shared" si="7"/>
        <v>5</v>
      </c>
      <c r="C61" s="14">
        <f>נתונים!B43</f>
        <v>14165.964567216037</v>
      </c>
      <c r="D61" s="14">
        <f>נתונים!B27</f>
        <v>250</v>
      </c>
      <c r="E61" s="14">
        <f>INDEX(לוח_סילוקין!$F$2:$F$361,A61)</f>
        <v>2472258.2325948137</v>
      </c>
      <c r="F61" s="14">
        <f>נתונים!$B$5*(1+נתונים!$B$6)^(A61/12)</f>
        <v>3500000</v>
      </c>
      <c r="G61" s="10">
        <f t="shared" si="8"/>
        <v>1027741.7674051863</v>
      </c>
      <c r="H61" s="14">
        <f>נתונים!B30*(1+נתונים!B31)^(B61-1)</f>
        <v>7035.8090400000001</v>
      </c>
      <c r="I61" s="14">
        <f>נתונים!B32*(1-נתונים!B33/12)*(1+נתונים!B31)^(B61-1)</f>
        <v>9076.6446750000014</v>
      </c>
      <c r="J61" s="10">
        <f t="shared" si="9"/>
        <v>7380.1555272160367</v>
      </c>
      <c r="K61" s="10">
        <f t="shared" si="6"/>
        <v>2040.8356350000013</v>
      </c>
      <c r="L61" s="10">
        <f>L60*(1+נתונים!B44)+J61</f>
        <v>1070846.8518595088</v>
      </c>
      <c r="M61" s="10">
        <f>M60*(1+נתונים!B44)+K61</f>
        <v>149676.01471382059</v>
      </c>
      <c r="N61" s="14">
        <f>F61-(נתונים!B4+נתונים!B21)</f>
        <v>290000</v>
      </c>
      <c r="O61" s="14">
        <f>MAX(0,N61)*נתונים!B36*(1-נתונים!B37)</f>
        <v>0</v>
      </c>
      <c r="P61" s="10">
        <f t="shared" si="10"/>
        <v>1027741.7674051863</v>
      </c>
      <c r="Q61" s="10">
        <f t="shared" si="11"/>
        <v>1177417.7821190068</v>
      </c>
      <c r="R61" s="10">
        <f t="shared" si="12"/>
        <v>1070846.8518595088</v>
      </c>
    </row>
    <row r="62" spans="1:18" x14ac:dyDescent="0.25">
      <c r="A62" s="4">
        <v>61</v>
      </c>
      <c r="B62" s="4">
        <f t="shared" si="7"/>
        <v>6</v>
      </c>
      <c r="C62" s="14">
        <f>נתונים!B43</f>
        <v>14165.964567216037</v>
      </c>
      <c r="D62" s="14">
        <f>נתונים!B27</f>
        <v>250</v>
      </c>
      <c r="E62" s="14">
        <f>INDEX(לוח_סילוקין!$F$2:$F$361,A62)</f>
        <v>2467981.3009579768</v>
      </c>
      <c r="F62" s="14">
        <f>נתונים!$B$5*(1+נתונים!$B$6)^(A62/12)</f>
        <v>3500000</v>
      </c>
      <c r="G62" s="10">
        <f t="shared" si="8"/>
        <v>1032018.6990420232</v>
      </c>
      <c r="H62" s="14">
        <f>נתונים!B30*(1+נתונים!B31)^(B62-1)</f>
        <v>7176.5252208000002</v>
      </c>
      <c r="I62" s="14">
        <f>נתונים!B32*(1-נתונים!B33/12)*(1+נתונים!B31)^(B62-1)</f>
        <v>9258.1775685000011</v>
      </c>
      <c r="J62" s="10">
        <f t="shared" si="9"/>
        <v>7239.4393464160366</v>
      </c>
      <c r="K62" s="10">
        <f t="shared" si="6"/>
        <v>2081.652347700001</v>
      </c>
      <c r="L62" s="10">
        <f>L61*(1+נתונים!B44)+J62</f>
        <v>1086625.3743805019</v>
      </c>
      <c r="M62" s="10">
        <f>M61*(1+נתונים!B44)+K62</f>
        <v>152951.20462168727</v>
      </c>
      <c r="N62" s="14">
        <f>F62-(נתונים!B4+נתונים!B21)</f>
        <v>290000</v>
      </c>
      <c r="O62" s="14">
        <f>MAX(0,N62)*נתונים!B36*(1-נתונים!B37)</f>
        <v>0</v>
      </c>
      <c r="P62" s="10">
        <f t="shared" si="10"/>
        <v>1032018.6990420232</v>
      </c>
      <c r="Q62" s="10">
        <f t="shared" si="11"/>
        <v>1184969.9036637105</v>
      </c>
      <c r="R62" s="10">
        <f t="shared" si="12"/>
        <v>1086625.3743805019</v>
      </c>
    </row>
    <row r="63" spans="1:18" x14ac:dyDescent="0.25">
      <c r="A63" s="4">
        <v>62</v>
      </c>
      <c r="B63" s="4">
        <f t="shared" si="7"/>
        <v>6</v>
      </c>
      <c r="C63" s="14">
        <f>נתונים!B43</f>
        <v>14165.964567216037</v>
      </c>
      <c r="D63" s="14">
        <f>נתונים!B27</f>
        <v>250</v>
      </c>
      <c r="E63" s="14">
        <f>INDEX(לוח_סילוקין!$F$2:$F$361,A63)</f>
        <v>2463687.2615945926</v>
      </c>
      <c r="F63" s="14">
        <f>נתונים!$B$5*(1+נתונים!$B$6)^(A63/12)</f>
        <v>3500000</v>
      </c>
      <c r="G63" s="10">
        <f t="shared" si="8"/>
        <v>1036312.7384054074</v>
      </c>
      <c r="H63" s="14">
        <f>נתונים!B30*(1+נתונים!B31)^(B63-1)</f>
        <v>7176.5252208000002</v>
      </c>
      <c r="I63" s="14">
        <f>נתונים!B32*(1-נתונים!B33/12)*(1+נתונים!B31)^(B63-1)</f>
        <v>9258.1775685000011</v>
      </c>
      <c r="J63" s="10">
        <f t="shared" si="9"/>
        <v>7239.4393464160366</v>
      </c>
      <c r="K63" s="10">
        <f t="shared" si="6"/>
        <v>2081.652347700001</v>
      </c>
      <c r="L63" s="10">
        <f>L62*(1+נתונים!B44)+J63</f>
        <v>1102529.7170558381</v>
      </c>
      <c r="M63" s="10">
        <f>M62*(1+נתונים!B44)+K63</f>
        <v>156252.51135381061</v>
      </c>
      <c r="N63" s="14">
        <f>F63-(נתונים!B4+נתונים!B21)</f>
        <v>290000</v>
      </c>
      <c r="O63" s="14">
        <f>MAX(0,N63)*נתונים!B36*(1-נתונים!B37)</f>
        <v>0</v>
      </c>
      <c r="P63" s="10">
        <f t="shared" si="10"/>
        <v>1036312.7384054074</v>
      </c>
      <c r="Q63" s="10">
        <f t="shared" si="11"/>
        <v>1192565.249759218</v>
      </c>
      <c r="R63" s="10">
        <f t="shared" si="12"/>
        <v>1102529.7170558381</v>
      </c>
    </row>
    <row r="64" spans="1:18" x14ac:dyDescent="0.25">
      <c r="A64" s="4">
        <v>63</v>
      </c>
      <c r="B64" s="4">
        <f t="shared" si="7"/>
        <v>6</v>
      </c>
      <c r="C64" s="14">
        <f>נתונים!B43</f>
        <v>14165.964567216037</v>
      </c>
      <c r="D64" s="14">
        <f>נתונים!B27</f>
        <v>250</v>
      </c>
      <c r="E64" s="14">
        <f>INDEX(לוח_סילוקין!$F$2:$F$361,A64)</f>
        <v>2459376.0460737548</v>
      </c>
      <c r="F64" s="14">
        <f>נתונים!$B$5*(1+נתונים!$B$6)^(A64/12)</f>
        <v>3500000</v>
      </c>
      <c r="G64" s="10">
        <f t="shared" si="8"/>
        <v>1040623.9539262452</v>
      </c>
      <c r="H64" s="14">
        <f>נתונים!B30*(1+נתונים!B31)^(B64-1)</f>
        <v>7176.5252208000002</v>
      </c>
      <c r="I64" s="14">
        <f>נתונים!B32*(1-נתונים!B33/12)*(1+נתונים!B31)^(B64-1)</f>
        <v>9258.1775685000011</v>
      </c>
      <c r="J64" s="10">
        <f t="shared" si="9"/>
        <v>7239.4393464160366</v>
      </c>
      <c r="K64" s="10">
        <f t="shared" si="6"/>
        <v>2081.652347700001</v>
      </c>
      <c r="L64" s="10">
        <f>L63*(1+נתונים!B44)+J64</f>
        <v>1118560.8831930968</v>
      </c>
      <c r="M64" s="10">
        <f>M63*(1+נתונים!B44)+K64</f>
        <v>159580.14316941478</v>
      </c>
      <c r="N64" s="14">
        <f>F64-(נתונים!B4+נתונים!B21)</f>
        <v>290000</v>
      </c>
      <c r="O64" s="14">
        <f>MAX(0,N64)*נתונים!B36*(1-נתונים!B37)</f>
        <v>0</v>
      </c>
      <c r="P64" s="10">
        <f t="shared" si="10"/>
        <v>1040623.9539262452</v>
      </c>
      <c r="Q64" s="10">
        <f t="shared" si="11"/>
        <v>1200204.0970956599</v>
      </c>
      <c r="R64" s="10">
        <f t="shared" si="12"/>
        <v>1118560.8831930968</v>
      </c>
    </row>
    <row r="65" spans="1:18" x14ac:dyDescent="0.25">
      <c r="A65" s="4">
        <v>64</v>
      </c>
      <c r="B65" s="4">
        <f t="shared" si="7"/>
        <v>6</v>
      </c>
      <c r="C65" s="14">
        <f>נתונים!B43</f>
        <v>14165.964567216037</v>
      </c>
      <c r="D65" s="14">
        <f>נתונים!B27</f>
        <v>250</v>
      </c>
      <c r="E65" s="14">
        <f>INDEX(לוח_סילוקין!$F$2:$F$361,A65)</f>
        <v>2455047.5856908336</v>
      </c>
      <c r="F65" s="14">
        <f>נתונים!$B$5*(1+נתונים!$B$6)^(A65/12)</f>
        <v>3500000</v>
      </c>
      <c r="G65" s="10">
        <f t="shared" si="8"/>
        <v>1044952.4143091664</v>
      </c>
      <c r="H65" s="14">
        <f>נתונים!B30*(1+נתונים!B31)^(B65-1)</f>
        <v>7176.5252208000002</v>
      </c>
      <c r="I65" s="14">
        <f>נתונים!B32*(1-נתונים!B33/12)*(1+נתונים!B31)^(B65-1)</f>
        <v>9258.1775685000011</v>
      </c>
      <c r="J65" s="10">
        <f t="shared" si="9"/>
        <v>7239.4393464160366</v>
      </c>
      <c r="K65" s="10">
        <f t="shared" si="6"/>
        <v>2081.652347700001</v>
      </c>
      <c r="L65" s="10">
        <f>L64*(1+נתונים!B44)+J65</f>
        <v>1134719.8841003731</v>
      </c>
      <c r="M65" s="10">
        <f>M64*(1+נתונים!B44)+K65</f>
        <v>162934.30998841225</v>
      </c>
      <c r="N65" s="14">
        <f>F65-(נתונים!B4+נתונים!B21)</f>
        <v>290000</v>
      </c>
      <c r="O65" s="14">
        <f>MAX(0,N65)*נתונים!B36*(1-נתונים!B37)</f>
        <v>0</v>
      </c>
      <c r="P65" s="10">
        <f t="shared" si="10"/>
        <v>1044952.4143091664</v>
      </c>
      <c r="Q65" s="10">
        <f t="shared" si="11"/>
        <v>1207886.7242975787</v>
      </c>
      <c r="R65" s="10">
        <f t="shared" si="12"/>
        <v>1134719.8841003731</v>
      </c>
    </row>
    <row r="66" spans="1:18" x14ac:dyDescent="0.25">
      <c r="A66" s="4">
        <v>65</v>
      </c>
      <c r="B66" s="4">
        <f t="shared" ref="B66:B97" si="13">ROUNDUP(A66/12,0)</f>
        <v>6</v>
      </c>
      <c r="C66" s="14">
        <f>נתונים!B43</f>
        <v>14165.964567216037</v>
      </c>
      <c r="D66" s="14">
        <f>נתונים!B27</f>
        <v>250</v>
      </c>
      <c r="E66" s="14">
        <f>INDEX(לוח_סילוקין!$F$2:$F$361,A66)</f>
        <v>2450701.811466381</v>
      </c>
      <c r="F66" s="14">
        <f>נתונים!$B$5*(1+נתונים!$B$6)^(A66/12)</f>
        <v>3500000</v>
      </c>
      <c r="G66" s="10">
        <f t="shared" ref="G66:G97" si="14">F66-E66</f>
        <v>1049298.188533619</v>
      </c>
      <c r="H66" s="14">
        <f>נתונים!B30*(1+נתונים!B31)^(B66-1)</f>
        <v>7176.5252208000002</v>
      </c>
      <c r="I66" s="14">
        <f>נתונים!B32*(1-נתונים!B33/12)*(1+נתונים!B31)^(B66-1)</f>
        <v>9258.1775685000011</v>
      </c>
      <c r="J66" s="10">
        <f t="shared" ref="J66:J85" si="15">(C66+D66)-H66</f>
        <v>7239.4393464160366</v>
      </c>
      <c r="K66" s="10">
        <f t="shared" si="6"/>
        <v>2081.652347700001</v>
      </c>
      <c r="L66" s="10">
        <f>L65*(1+נתונים!B44)+J66</f>
        <v>1151007.7391500748</v>
      </c>
      <c r="M66" s="10">
        <f>M65*(1+נתונים!B44)+K66</f>
        <v>166315.22340464639</v>
      </c>
      <c r="N66" s="14">
        <f>F66-(נתונים!B4+נתונים!B21)</f>
        <v>290000</v>
      </c>
      <c r="O66" s="14">
        <f>MAX(0,N66)*נתונים!B36*(1-נתונים!B37)</f>
        <v>0</v>
      </c>
      <c r="P66" s="10">
        <f t="shared" ref="P66:P97" si="16">G66-O66</f>
        <v>1049298.188533619</v>
      </c>
      <c r="Q66" s="10">
        <f t="shared" ref="Q66:Q85" si="17">G66-O66+M66</f>
        <v>1215613.4119382654</v>
      </c>
      <c r="R66" s="10">
        <f t="shared" ref="R66:R85" si="18">L66</f>
        <v>1151007.7391500748</v>
      </c>
    </row>
    <row r="67" spans="1:18" x14ac:dyDescent="0.25">
      <c r="A67" s="4">
        <v>66</v>
      </c>
      <c r="B67" s="4">
        <f t="shared" si="13"/>
        <v>6</v>
      </c>
      <c r="C67" s="14">
        <f>נתונים!B43</f>
        <v>14165.964567216037</v>
      </c>
      <c r="D67" s="14">
        <f>נתונים!B27</f>
        <v>250</v>
      </c>
      <c r="E67" s="14">
        <f>INDEX(לוח_סילוקין!$F$2:$F$361,A67)</f>
        <v>2446338.6541450303</v>
      </c>
      <c r="F67" s="14">
        <f>נתונים!$B$5*(1+נתונים!$B$6)^(A67/12)</f>
        <v>3500000</v>
      </c>
      <c r="G67" s="10">
        <f t="shared" si="14"/>
        <v>1053661.3458549697</v>
      </c>
      <c r="H67" s="14">
        <f>נתונים!B30*(1+נתונים!B31)^(B67-1)</f>
        <v>7176.5252208000002</v>
      </c>
      <c r="I67" s="14">
        <f>נתונים!B32*(1-נתונים!B33/12)*(1+נתונים!B31)^(B67-1)</f>
        <v>9258.1775685000011</v>
      </c>
      <c r="J67" s="10">
        <f t="shared" si="15"/>
        <v>7239.4393464160366</v>
      </c>
      <c r="K67" s="10">
        <f t="shared" ref="K67:K85" si="19">I67-H67</f>
        <v>2081.652347700001</v>
      </c>
      <c r="L67" s="10">
        <f>L66*(1+נתונים!B44)+J67</f>
        <v>1167425.4758432284</v>
      </c>
      <c r="M67" s="10">
        <f>M66*(1+נתונים!B44)+K67</f>
        <v>169723.09669923954</v>
      </c>
      <c r="N67" s="14">
        <f>F67-(נתונים!B4+נתונים!B21)</f>
        <v>290000</v>
      </c>
      <c r="O67" s="14">
        <f>MAX(0,N67)*נתונים!B36*(1-נתונים!B37)</f>
        <v>0</v>
      </c>
      <c r="P67" s="10">
        <f t="shared" si="16"/>
        <v>1053661.3458549697</v>
      </c>
      <c r="Q67" s="10">
        <f t="shared" si="17"/>
        <v>1223384.4425542091</v>
      </c>
      <c r="R67" s="10">
        <f t="shared" si="18"/>
        <v>1167425.4758432284</v>
      </c>
    </row>
    <row r="68" spans="1:18" x14ac:dyDescent="0.25">
      <c r="A68" s="4">
        <v>67</v>
      </c>
      <c r="B68" s="4">
        <f t="shared" si="13"/>
        <v>6</v>
      </c>
      <c r="C68" s="14">
        <f>נתונים!B43</f>
        <v>14165.964567216037</v>
      </c>
      <c r="D68" s="14">
        <f>נתונים!B27</f>
        <v>250</v>
      </c>
      <c r="E68" s="14">
        <f>INDEX(לוח_סילוקין!$F$2:$F$361,A68)</f>
        <v>2441958.0441943943</v>
      </c>
      <c r="F68" s="14">
        <f>נתונים!$B$5*(1+נתונים!$B$6)^(A68/12)</f>
        <v>3500000</v>
      </c>
      <c r="G68" s="10">
        <f t="shared" si="14"/>
        <v>1058041.9558056057</v>
      </c>
      <c r="H68" s="14">
        <f>נתונים!B30*(1+נתונים!B31)^(B68-1)</f>
        <v>7176.5252208000002</v>
      </c>
      <c r="I68" s="14">
        <f>נתונים!B32*(1-נתונים!B33/12)*(1+נתונים!B31)^(B68-1)</f>
        <v>9258.1775685000011</v>
      </c>
      <c r="J68" s="10">
        <f t="shared" si="15"/>
        <v>7239.4393464160366</v>
      </c>
      <c r="K68" s="10">
        <f t="shared" si="19"/>
        <v>2081.652347700001</v>
      </c>
      <c r="L68" s="10">
        <f>L67*(1+נתונים!B44)+J68</f>
        <v>1183974.1298742981</v>
      </c>
      <c r="M68" s="10">
        <f>M67*(1+נתונים!B44)+K68</f>
        <v>173158.14485404768</v>
      </c>
      <c r="N68" s="14">
        <f>F68-(נתונים!B4+נתונים!B21)</f>
        <v>290000</v>
      </c>
      <c r="O68" s="14">
        <f>MAX(0,N68)*נתונים!B36*(1-נתונים!B37)</f>
        <v>0</v>
      </c>
      <c r="P68" s="10">
        <f t="shared" si="16"/>
        <v>1058041.9558056057</v>
      </c>
      <c r="Q68" s="10">
        <f t="shared" si="17"/>
        <v>1231200.1006596535</v>
      </c>
      <c r="R68" s="10">
        <f t="shared" si="18"/>
        <v>1183974.1298742981</v>
      </c>
    </row>
    <row r="69" spans="1:18" x14ac:dyDescent="0.25">
      <c r="A69" s="4">
        <v>68</v>
      </c>
      <c r="B69" s="4">
        <f t="shared" si="13"/>
        <v>6</v>
      </c>
      <c r="C69" s="14">
        <f>נתונים!B43</f>
        <v>14165.964567216037</v>
      </c>
      <c r="D69" s="14">
        <f>נתונים!B27</f>
        <v>250</v>
      </c>
      <c r="E69" s="14">
        <f>INDEX(לוח_סילוקין!$F$2:$F$361,A69)</f>
        <v>2437559.9118039557</v>
      </c>
      <c r="F69" s="14">
        <f>נתונים!$B$5*(1+נתונים!$B$6)^(A69/12)</f>
        <v>3500000</v>
      </c>
      <c r="G69" s="10">
        <f t="shared" si="14"/>
        <v>1062440.0881960443</v>
      </c>
      <c r="H69" s="14">
        <f>נתונים!B30*(1+נתונים!B31)^(B69-1)</f>
        <v>7176.5252208000002</v>
      </c>
      <c r="I69" s="14">
        <f>נתונים!B32*(1-נתונים!B33/12)*(1+נתונים!B31)^(B69-1)</f>
        <v>9258.1775685000011</v>
      </c>
      <c r="J69" s="10">
        <f t="shared" si="15"/>
        <v>7239.4393464160366</v>
      </c>
      <c r="K69" s="10">
        <f t="shared" si="19"/>
        <v>2081.652347700001</v>
      </c>
      <c r="L69" s="10">
        <f>L68*(1+נתונים!B44)+J69</f>
        <v>1200654.7451965208</v>
      </c>
      <c r="M69" s="10">
        <f>M68*(1+נתונים!B44)+K69</f>
        <v>176620.58456522232</v>
      </c>
      <c r="N69" s="14">
        <f>F69-(נתונים!B4+נתונים!B21)</f>
        <v>290000</v>
      </c>
      <c r="O69" s="14">
        <f>MAX(0,N69)*נתונים!B36*(1-נתונים!B37)</f>
        <v>0</v>
      </c>
      <c r="P69" s="10">
        <f t="shared" si="16"/>
        <v>1062440.0881960443</v>
      </c>
      <c r="Q69" s="10">
        <f t="shared" si="17"/>
        <v>1239060.6727612666</v>
      </c>
      <c r="R69" s="10">
        <f t="shared" si="18"/>
        <v>1200654.7451965208</v>
      </c>
    </row>
    <row r="70" spans="1:18" x14ac:dyDescent="0.25">
      <c r="A70" s="4">
        <v>69</v>
      </c>
      <c r="B70" s="4">
        <f t="shared" si="13"/>
        <v>6</v>
      </c>
      <c r="C70" s="14">
        <f>נתונים!B43</f>
        <v>14165.964567216037</v>
      </c>
      <c r="D70" s="14">
        <f>נתונים!B27</f>
        <v>250</v>
      </c>
      <c r="E70" s="14">
        <f>INDEX(לוח_סילוקין!$F$2:$F$361,A70)</f>
        <v>2433144.1868839553</v>
      </c>
      <c r="F70" s="14">
        <f>נתונים!$B$5*(1+נתונים!$B$6)^(A70/12)</f>
        <v>3500000</v>
      </c>
      <c r="G70" s="10">
        <f t="shared" si="14"/>
        <v>1066855.8131160447</v>
      </c>
      <c r="H70" s="14">
        <f>נתונים!B30*(1+נתונים!B31)^(B70-1)</f>
        <v>7176.5252208000002</v>
      </c>
      <c r="I70" s="14">
        <f>נתונים!B32*(1-נתונים!B33/12)*(1+נתונים!B31)^(B70-1)</f>
        <v>9258.1775685000011</v>
      </c>
      <c r="J70" s="10">
        <f t="shared" si="15"/>
        <v>7239.4393464160366</v>
      </c>
      <c r="K70" s="10">
        <f t="shared" si="19"/>
        <v>2081.652347700001</v>
      </c>
      <c r="L70" s="10">
        <f>L69*(1+נתונים!B44)+J70</f>
        <v>1217468.3740877635</v>
      </c>
      <c r="M70" s="10">
        <f>M69*(1+נתונים!B44)+K70</f>
        <v>180110.63425688047</v>
      </c>
      <c r="N70" s="14">
        <f>F70-(נתונים!B4+נתונים!B21)</f>
        <v>290000</v>
      </c>
      <c r="O70" s="14">
        <f>MAX(0,N70)*נתונים!B36*(1-נתונים!B37)</f>
        <v>0</v>
      </c>
      <c r="P70" s="10">
        <f t="shared" si="16"/>
        <v>1066855.8131160447</v>
      </c>
      <c r="Q70" s="10">
        <f t="shared" si="17"/>
        <v>1246966.4473729252</v>
      </c>
      <c r="R70" s="10">
        <f t="shared" si="18"/>
        <v>1217468.3740877635</v>
      </c>
    </row>
    <row r="71" spans="1:18" x14ac:dyDescent="0.25">
      <c r="A71" s="4">
        <v>70</v>
      </c>
      <c r="B71" s="4">
        <f t="shared" si="13"/>
        <v>6</v>
      </c>
      <c r="C71" s="14">
        <f>נתונים!B43</f>
        <v>14165.964567216037</v>
      </c>
      <c r="D71" s="14">
        <f>נתונים!B27</f>
        <v>250</v>
      </c>
      <c r="E71" s="14">
        <f>INDEX(לוח_סילוקין!$F$2:$F$361,A71)</f>
        <v>2428710.7990642749</v>
      </c>
      <c r="F71" s="14">
        <f>נתונים!$B$5*(1+נתונים!$B$6)^(A71/12)</f>
        <v>3500000</v>
      </c>
      <c r="G71" s="10">
        <f t="shared" si="14"/>
        <v>1071289.2009357251</v>
      </c>
      <c r="H71" s="14">
        <f>נתונים!B30*(1+נתונים!B31)^(B71-1)</f>
        <v>7176.5252208000002</v>
      </c>
      <c r="I71" s="14">
        <f>נתונים!B32*(1-נתונים!B33/12)*(1+נתונים!B31)^(B71-1)</f>
        <v>9258.1775685000011</v>
      </c>
      <c r="J71" s="10">
        <f t="shared" si="15"/>
        <v>7239.4393464160366</v>
      </c>
      <c r="K71" s="10">
        <f t="shared" si="19"/>
        <v>2081.652347700001</v>
      </c>
      <c r="L71" s="10">
        <f>L70*(1+נתונים!B44)+J71</f>
        <v>1234416.0772169044</v>
      </c>
      <c r="M71" s="10">
        <f>M70*(1+נתונים!B44)+K71</f>
        <v>183628.51409488375</v>
      </c>
      <c r="N71" s="14">
        <f>F71-(נתונים!B4+נתונים!B21)</f>
        <v>290000</v>
      </c>
      <c r="O71" s="14">
        <f>MAX(0,N71)*נתונים!B36*(1-נתונים!B37)</f>
        <v>0</v>
      </c>
      <c r="P71" s="10">
        <f t="shared" si="16"/>
        <v>1071289.2009357251</v>
      </c>
      <c r="Q71" s="10">
        <f t="shared" si="17"/>
        <v>1254917.7150306089</v>
      </c>
      <c r="R71" s="10">
        <f t="shared" si="18"/>
        <v>1234416.0772169044</v>
      </c>
    </row>
    <row r="72" spans="1:18" x14ac:dyDescent="0.25">
      <c r="A72" s="4">
        <v>71</v>
      </c>
      <c r="B72" s="4">
        <f t="shared" si="13"/>
        <v>6</v>
      </c>
      <c r="C72" s="14">
        <f>נתונים!B43</f>
        <v>14165.964567216037</v>
      </c>
      <c r="D72" s="14">
        <f>נתונים!B27</f>
        <v>250</v>
      </c>
      <c r="E72" s="14">
        <f>INDEX(לוח_סילוקין!$F$2:$F$361,A72)</f>
        <v>2424259.6776933158</v>
      </c>
      <c r="F72" s="14">
        <f>נתונים!$B$5*(1+נתונים!$B$6)^(A72/12)</f>
        <v>3500000</v>
      </c>
      <c r="G72" s="10">
        <f t="shared" si="14"/>
        <v>1075740.3223066842</v>
      </c>
      <c r="H72" s="14">
        <f>נתונים!B30*(1+נתונים!B31)^(B72-1)</f>
        <v>7176.5252208000002</v>
      </c>
      <c r="I72" s="14">
        <f>נתונים!B32*(1-נתונים!B33/12)*(1+נתונים!B31)^(B72-1)</f>
        <v>9258.1775685000011</v>
      </c>
      <c r="J72" s="10">
        <f t="shared" si="15"/>
        <v>7239.4393464160366</v>
      </c>
      <c r="K72" s="10">
        <f t="shared" si="19"/>
        <v>2081.652347700001</v>
      </c>
      <c r="L72" s="10">
        <f>L71*(1+נתונים!B44)+J72</f>
        <v>1251498.9237107444</v>
      </c>
      <c r="M72" s="10">
        <f>M71*(1+נתונים!B44)+K72</f>
        <v>187174.4460007273</v>
      </c>
      <c r="N72" s="14">
        <f>F72-(נתונים!B4+נתונים!B21)</f>
        <v>290000</v>
      </c>
      <c r="O72" s="14">
        <f>MAX(0,N72)*נתונים!B36*(1-נתונים!B37)</f>
        <v>0</v>
      </c>
      <c r="P72" s="10">
        <f t="shared" si="16"/>
        <v>1075740.3223066842</v>
      </c>
      <c r="Q72" s="10">
        <f t="shared" si="17"/>
        <v>1262914.7683074116</v>
      </c>
      <c r="R72" s="10">
        <f t="shared" si="18"/>
        <v>1251498.9237107444</v>
      </c>
    </row>
    <row r="73" spans="1:18" x14ac:dyDescent="0.25">
      <c r="A73" s="4">
        <v>72</v>
      </c>
      <c r="B73" s="4">
        <f t="shared" si="13"/>
        <v>6</v>
      </c>
      <c r="C73" s="14">
        <f>נתונים!B43</f>
        <v>14165.964567216037</v>
      </c>
      <c r="D73" s="14">
        <f>נתונים!B27</f>
        <v>250</v>
      </c>
      <c r="E73" s="14">
        <f>INDEX(לוח_סילוקין!$F$2:$F$361,A73)</f>
        <v>2419790.7518368731</v>
      </c>
      <c r="F73" s="14">
        <f>נתונים!$B$5*(1+נתונים!$B$6)^(A73/12)</f>
        <v>3500000</v>
      </c>
      <c r="G73" s="10">
        <f t="shared" si="14"/>
        <v>1080209.2481631269</v>
      </c>
      <c r="H73" s="14">
        <f>נתונים!B30*(1+נתונים!B31)^(B73-1)</f>
        <v>7176.5252208000002</v>
      </c>
      <c r="I73" s="14">
        <f>נתונים!B32*(1-נתונים!B33/12)*(1+נתונים!B31)^(B73-1)</f>
        <v>9258.1775685000011</v>
      </c>
      <c r="J73" s="10">
        <f t="shared" si="15"/>
        <v>7239.4393464160366</v>
      </c>
      <c r="K73" s="10">
        <f t="shared" si="19"/>
        <v>2081.652347700001</v>
      </c>
      <c r="L73" s="10">
        <f>L72*(1+נתונים!B44)+J73</f>
        <v>1268717.9912214517</v>
      </c>
      <c r="M73" s="10">
        <f>M72*(1+נתונים!B44)+K73</f>
        <v>190748.65366553937</v>
      </c>
      <c r="N73" s="14">
        <f>F73-(נתונים!B4+נתונים!B21)</f>
        <v>290000</v>
      </c>
      <c r="O73" s="14">
        <f>MAX(0,N73)*נתונים!B36*(1-נתונים!B37)</f>
        <v>0</v>
      </c>
      <c r="P73" s="10">
        <f t="shared" si="16"/>
        <v>1080209.2481631269</v>
      </c>
      <c r="Q73" s="10">
        <f t="shared" si="17"/>
        <v>1270957.9018286662</v>
      </c>
      <c r="R73" s="10">
        <f t="shared" si="18"/>
        <v>1268717.9912214517</v>
      </c>
    </row>
    <row r="74" spans="1:18" x14ac:dyDescent="0.25">
      <c r="A74" s="4">
        <v>73</v>
      </c>
      <c r="B74" s="4">
        <f t="shared" si="13"/>
        <v>7</v>
      </c>
      <c r="C74" s="14">
        <f>נתונים!B43</f>
        <v>14165.964567216037</v>
      </c>
      <c r="D74" s="14">
        <f>נתונים!B27</f>
        <v>250</v>
      </c>
      <c r="E74" s="14">
        <f>INDEX(לוח_סילוקין!$F$2:$F$361,A74)</f>
        <v>2415303.9502770044</v>
      </c>
      <c r="F74" s="14">
        <f>נתונים!$B$5*(1+נתונים!$B$6)^(A74/12)</f>
        <v>3500000</v>
      </c>
      <c r="G74" s="10">
        <f t="shared" si="14"/>
        <v>1084696.0497229956</v>
      </c>
      <c r="H74" s="14">
        <f>נתונים!B30*(1+נתונים!B31)^(B74-1)</f>
        <v>7320.0557252160006</v>
      </c>
      <c r="I74" s="14">
        <f>נתונים!B32*(1-נתונים!B33/12)*(1+נתונים!B31)^(B74-1)</f>
        <v>9443.3411198700014</v>
      </c>
      <c r="J74" s="10">
        <f t="shared" si="15"/>
        <v>7095.9088420000362</v>
      </c>
      <c r="K74" s="10">
        <f t="shared" si="19"/>
        <v>2123.2853946540008</v>
      </c>
      <c r="L74" s="10">
        <f>L73*(1+נתונים!B44)+J74</f>
        <v>1285930.8354901283</v>
      </c>
      <c r="M74" s="10">
        <f>M73*(1+נתונים!B44)+K74</f>
        <v>194392.9956111467</v>
      </c>
      <c r="N74" s="14">
        <f>F74-(נתונים!B4+נתונים!B21)</f>
        <v>290000</v>
      </c>
      <c r="O74" s="14">
        <f>MAX(0,N74)*נתונים!B36*(1-נתונים!B37)</f>
        <v>0</v>
      </c>
      <c r="P74" s="10">
        <f t="shared" si="16"/>
        <v>1084696.0497229956</v>
      </c>
      <c r="Q74" s="10">
        <f t="shared" si="17"/>
        <v>1279089.0453341424</v>
      </c>
      <c r="R74" s="10">
        <f t="shared" si="18"/>
        <v>1285930.8354901283</v>
      </c>
    </row>
    <row r="75" spans="1:18" x14ac:dyDescent="0.25">
      <c r="A75" s="4">
        <v>74</v>
      </c>
      <c r="B75" s="4">
        <f t="shared" si="13"/>
        <v>7</v>
      </c>
      <c r="C75" s="14">
        <f>נתונים!B43</f>
        <v>14165.964567216037</v>
      </c>
      <c r="D75" s="14">
        <f>נתונים!B27</f>
        <v>250</v>
      </c>
      <c r="E75" s="14">
        <f>INDEX(לוח_סילוקין!$F$2:$F$361,A75)</f>
        <v>2410799.2015108964</v>
      </c>
      <c r="F75" s="14">
        <f>נתונים!$B$5*(1+נתונים!$B$6)^(A75/12)</f>
        <v>3500000</v>
      </c>
      <c r="G75" s="10">
        <f t="shared" si="14"/>
        <v>1089200.7984891036</v>
      </c>
      <c r="H75" s="14">
        <f>נתונים!B30*(1+נתונים!B31)^(B75-1)</f>
        <v>7320.0557252160006</v>
      </c>
      <c r="I75" s="14">
        <f>נתונים!B32*(1-נתונים!B33/12)*(1+נתונים!B31)^(B75-1)</f>
        <v>9443.3411198700014</v>
      </c>
      <c r="J75" s="10">
        <f t="shared" si="15"/>
        <v>7095.9088420000362</v>
      </c>
      <c r="K75" s="10">
        <f t="shared" si="19"/>
        <v>2123.2853946540008</v>
      </c>
      <c r="L75" s="10">
        <f>L74*(1+נתונים!B44)+J75</f>
        <v>1303280.9373961841</v>
      </c>
      <c r="M75" s="10">
        <f>M74*(1+נתונים!B44)+K75</f>
        <v>198066.39805119927</v>
      </c>
      <c r="N75" s="14">
        <f>F75-(נתונים!B4+נתונים!B21)</f>
        <v>290000</v>
      </c>
      <c r="O75" s="14">
        <f>MAX(0,N75)*נתונים!B36*(1-נתונים!B37)</f>
        <v>0</v>
      </c>
      <c r="P75" s="10">
        <f t="shared" si="16"/>
        <v>1089200.7984891036</v>
      </c>
      <c r="Q75" s="10">
        <f t="shared" si="17"/>
        <v>1287267.1965403028</v>
      </c>
      <c r="R75" s="10">
        <f t="shared" si="18"/>
        <v>1303280.9373961841</v>
      </c>
    </row>
    <row r="76" spans="1:18" x14ac:dyDescent="0.25">
      <c r="A76" s="4">
        <v>75</v>
      </c>
      <c r="B76" s="4">
        <f t="shared" si="13"/>
        <v>7</v>
      </c>
      <c r="C76" s="14">
        <f>נתונים!B43</f>
        <v>14165.964567216037</v>
      </c>
      <c r="D76" s="14">
        <f>נתונים!B27</f>
        <v>250</v>
      </c>
      <c r="E76" s="14">
        <f>INDEX(לוח_סילוקין!$F$2:$F$361,A76)</f>
        <v>2406276.4337497242</v>
      </c>
      <c r="F76" s="14">
        <f>נתונים!$B$5*(1+נתונים!$B$6)^(A76/12)</f>
        <v>3500000</v>
      </c>
      <c r="G76" s="10">
        <f t="shared" si="14"/>
        <v>1093723.5662502758</v>
      </c>
      <c r="H76" s="14">
        <f>נתונים!B30*(1+נתונים!B31)^(B76-1)</f>
        <v>7320.0557252160006</v>
      </c>
      <c r="I76" s="14">
        <f>נתונים!B32*(1-נתונים!B33/12)*(1+נתונים!B31)^(B76-1)</f>
        <v>9443.3411198700014</v>
      </c>
      <c r="J76" s="10">
        <f t="shared" si="15"/>
        <v>7095.9088420000362</v>
      </c>
      <c r="K76" s="10">
        <f t="shared" si="19"/>
        <v>2123.2853946540008</v>
      </c>
      <c r="L76" s="10">
        <f>L75*(1+נתונים!B44)+J76</f>
        <v>1320769.3914512945</v>
      </c>
      <c r="M76" s="10">
        <f>M75*(1+נתונים!B44)+K76</f>
        <v>201769.09271816068</v>
      </c>
      <c r="N76" s="14">
        <f>F76-(נתונים!B4+נתונים!B21)</f>
        <v>290000</v>
      </c>
      <c r="O76" s="14">
        <f>MAX(0,N76)*נתונים!B36*(1-נתונים!B37)</f>
        <v>0</v>
      </c>
      <c r="P76" s="10">
        <f t="shared" si="16"/>
        <v>1093723.5662502758</v>
      </c>
      <c r="Q76" s="10">
        <f t="shared" si="17"/>
        <v>1295492.6589684365</v>
      </c>
      <c r="R76" s="10">
        <f t="shared" si="18"/>
        <v>1320769.3914512945</v>
      </c>
    </row>
    <row r="77" spans="1:18" x14ac:dyDescent="0.25">
      <c r="A77" s="4">
        <v>76</v>
      </c>
      <c r="B77" s="4">
        <f t="shared" si="13"/>
        <v>7</v>
      </c>
      <c r="C77" s="14">
        <f>נתונים!B43</f>
        <v>14165.964567216037</v>
      </c>
      <c r="D77" s="14">
        <f>נתונים!B27</f>
        <v>250</v>
      </c>
      <c r="E77" s="14">
        <f>INDEX(לוח_סילוקין!$F$2:$F$361,A77)</f>
        <v>2401735.5749175069</v>
      </c>
      <c r="F77" s="14">
        <f>נתונים!$B$5*(1+נתונים!$B$6)^(A77/12)</f>
        <v>3500000</v>
      </c>
      <c r="G77" s="10">
        <f t="shared" si="14"/>
        <v>1098264.4250824931</v>
      </c>
      <c r="H77" s="14">
        <f>נתונים!B30*(1+נתונים!B31)^(B77-1)</f>
        <v>7320.0557252160006</v>
      </c>
      <c r="I77" s="14">
        <f>נתונים!B32*(1-נתונים!B33/12)*(1+נתונים!B31)^(B77-1)</f>
        <v>9443.3411198700014</v>
      </c>
      <c r="J77" s="10">
        <f t="shared" si="15"/>
        <v>7095.9088420000362</v>
      </c>
      <c r="K77" s="10">
        <f t="shared" si="19"/>
        <v>2123.2853946540008</v>
      </c>
      <c r="L77" s="10">
        <f>L76*(1+נתונים!B44)+J77</f>
        <v>1338397.3008949249</v>
      </c>
      <c r="M77" s="10">
        <f>M76*(1+נתונים!B44)+K77</f>
        <v>205501.31319236179</v>
      </c>
      <c r="N77" s="14">
        <f>F77-(נתונים!B4+נתונים!B21)</f>
        <v>290000</v>
      </c>
      <c r="O77" s="14">
        <f>MAX(0,N77)*נתונים!B36*(1-נתונים!B37)</f>
        <v>0</v>
      </c>
      <c r="P77" s="10">
        <f t="shared" si="16"/>
        <v>1098264.4250824931</v>
      </c>
      <c r="Q77" s="10">
        <f t="shared" si="17"/>
        <v>1303765.7382748548</v>
      </c>
      <c r="R77" s="10">
        <f t="shared" si="18"/>
        <v>1338397.3008949249</v>
      </c>
    </row>
    <row r="78" spans="1:18" x14ac:dyDescent="0.25">
      <c r="A78" s="4">
        <v>77</v>
      </c>
      <c r="B78" s="4">
        <f t="shared" si="13"/>
        <v>7</v>
      </c>
      <c r="C78" s="14">
        <f>נתונים!B43</f>
        <v>14165.964567216037</v>
      </c>
      <c r="D78" s="14">
        <f>נתונים!B27</f>
        <v>250</v>
      </c>
      <c r="E78" s="14">
        <f>INDEX(לוח_סילוקין!$F$2:$F$361,A78)</f>
        <v>2397176.5526499609</v>
      </c>
      <c r="F78" s="14">
        <f>נתונים!$B$5*(1+נתונים!$B$6)^(A78/12)</f>
        <v>3500000</v>
      </c>
      <c r="G78" s="10">
        <f t="shared" si="14"/>
        <v>1102823.4473500391</v>
      </c>
      <c r="H78" s="14">
        <f>נתונים!B30*(1+נתונים!B31)^(B78-1)</f>
        <v>7320.0557252160006</v>
      </c>
      <c r="I78" s="14">
        <f>נתונים!B32*(1-נתונים!B33/12)*(1+נתונים!B31)^(B78-1)</f>
        <v>9443.3411198700014</v>
      </c>
      <c r="J78" s="10">
        <f t="shared" si="15"/>
        <v>7095.9088420000362</v>
      </c>
      <c r="K78" s="10">
        <f t="shared" si="19"/>
        <v>2123.2853946540008</v>
      </c>
      <c r="L78" s="10">
        <f>L77*(1+נתונים!B44)+J78</f>
        <v>1356165.7777639267</v>
      </c>
      <c r="M78" s="10">
        <f>M77*(1+נתונים!B44)+K78</f>
        <v>209263.29491673582</v>
      </c>
      <c r="N78" s="14">
        <f>F78-(נתונים!B4+נתונים!B21)</f>
        <v>290000</v>
      </c>
      <c r="O78" s="14">
        <f>MAX(0,N78)*נתונים!B36*(1-נתונים!B37)</f>
        <v>0</v>
      </c>
      <c r="P78" s="10">
        <f t="shared" si="16"/>
        <v>1102823.4473500391</v>
      </c>
      <c r="Q78" s="10">
        <f t="shared" si="17"/>
        <v>1312086.7422667749</v>
      </c>
      <c r="R78" s="10">
        <f t="shared" si="18"/>
        <v>1356165.7777639267</v>
      </c>
    </row>
    <row r="79" spans="1:18" x14ac:dyDescent="0.25">
      <c r="A79" s="4">
        <v>78</v>
      </c>
      <c r="B79" s="4">
        <f t="shared" si="13"/>
        <v>7</v>
      </c>
      <c r="C79" s="14">
        <f>נתונים!B43</f>
        <v>14165.964567216037</v>
      </c>
      <c r="D79" s="14">
        <f>נתונים!B27</f>
        <v>250</v>
      </c>
      <c r="E79" s="14">
        <f>INDEX(לוח_סילוקין!$F$2:$F$361,A79)</f>
        <v>2392599.2942933445</v>
      </c>
      <c r="F79" s="14">
        <f>נתונים!$B$5*(1+נתונים!$B$6)^(A79/12)</f>
        <v>3500000</v>
      </c>
      <c r="G79" s="10">
        <f t="shared" si="14"/>
        <v>1107400.7057066555</v>
      </c>
      <c r="H79" s="14">
        <f>נתונים!B30*(1+נתונים!B31)^(B79-1)</f>
        <v>7320.0557252160006</v>
      </c>
      <c r="I79" s="14">
        <f>נתונים!B32*(1-נתונים!B33/12)*(1+נתונים!B31)^(B79-1)</f>
        <v>9443.3411198700014</v>
      </c>
      <c r="J79" s="10">
        <f t="shared" si="15"/>
        <v>7095.9088420000362</v>
      </c>
      <c r="K79" s="10">
        <f t="shared" si="19"/>
        <v>2123.2853946540008</v>
      </c>
      <c r="L79" s="10">
        <f>L78*(1+נתונים!B44)+J79</f>
        <v>1374075.9429626896</v>
      </c>
      <c r="M79" s="10">
        <f>M78*(1+נתונים!B44)+K79</f>
        <v>213055.27521167096</v>
      </c>
      <c r="N79" s="14">
        <f>F79-(נתונים!B4+נתונים!B21)</f>
        <v>290000</v>
      </c>
      <c r="O79" s="14">
        <f>MAX(0,N79)*נתונים!B36*(1-נתונים!B37)</f>
        <v>0</v>
      </c>
      <c r="P79" s="10">
        <f t="shared" si="16"/>
        <v>1107400.7057066555</v>
      </c>
      <c r="Q79" s="10">
        <f t="shared" si="17"/>
        <v>1320455.9809183264</v>
      </c>
      <c r="R79" s="10">
        <f t="shared" si="18"/>
        <v>1374075.9429626896</v>
      </c>
    </row>
    <row r="80" spans="1:18" x14ac:dyDescent="0.25">
      <c r="A80" s="4">
        <v>79</v>
      </c>
      <c r="B80" s="4">
        <f t="shared" si="13"/>
        <v>7</v>
      </c>
      <c r="C80" s="14">
        <f>נתונים!B43</f>
        <v>14165.964567216037</v>
      </c>
      <c r="D80" s="14">
        <f>נתונים!B27</f>
        <v>250</v>
      </c>
      <c r="E80" s="14">
        <f>INDEX(לוח_סילוקין!$F$2:$F$361,A80)</f>
        <v>2388003.7269033017</v>
      </c>
      <c r="F80" s="14">
        <f>נתונים!$B$5*(1+נתונים!$B$6)^(A80/12)</f>
        <v>3500000</v>
      </c>
      <c r="G80" s="10">
        <f t="shared" si="14"/>
        <v>1111996.2730966983</v>
      </c>
      <c r="H80" s="14">
        <f>נתונים!B30*(1+נתונים!B31)^(B80-1)</f>
        <v>7320.0557252160006</v>
      </c>
      <c r="I80" s="14">
        <f>נתונים!B32*(1-נתונים!B33/12)*(1+נתונים!B31)^(B80-1)</f>
        <v>9443.3411198700014</v>
      </c>
      <c r="J80" s="10">
        <f t="shared" si="15"/>
        <v>7095.9088420000362</v>
      </c>
      <c r="K80" s="10">
        <f t="shared" si="19"/>
        <v>2123.2853946540008</v>
      </c>
      <c r="L80" s="10">
        <f>L79*(1+נתונים!B44)+J80</f>
        <v>1392128.9263338523</v>
      </c>
      <c r="M80" s="10">
        <f>M79*(1+נתונים!B44)+K80</f>
        <v>216877.49328998156</v>
      </c>
      <c r="N80" s="14">
        <f>F80-(נתונים!B4+נתונים!B21)</f>
        <v>290000</v>
      </c>
      <c r="O80" s="14">
        <f>MAX(0,N80)*נתונים!B36*(1-נתונים!B37)</f>
        <v>0</v>
      </c>
      <c r="P80" s="10">
        <f t="shared" si="16"/>
        <v>1111996.2730966983</v>
      </c>
      <c r="Q80" s="10">
        <f t="shared" si="17"/>
        <v>1328873.7663866798</v>
      </c>
      <c r="R80" s="10">
        <f t="shared" si="18"/>
        <v>1392128.9263338523</v>
      </c>
    </row>
    <row r="81" spans="1:18" x14ac:dyDescent="0.25">
      <c r="A81" s="4">
        <v>80</v>
      </c>
      <c r="B81" s="4">
        <f t="shared" si="13"/>
        <v>7</v>
      </c>
      <c r="C81" s="14">
        <f>נתונים!B43</f>
        <v>14165.964567216037</v>
      </c>
      <c r="D81" s="14">
        <f>נתונים!B27</f>
        <v>250</v>
      </c>
      <c r="E81" s="14">
        <f>INDEX(לוח_סילוקין!$F$2:$F$361,A81)</f>
        <v>2383389.7772436989</v>
      </c>
      <c r="F81" s="14">
        <f>נתונים!$B$5*(1+נתונים!$B$6)^(A81/12)</f>
        <v>3500000</v>
      </c>
      <c r="G81" s="10">
        <f t="shared" si="14"/>
        <v>1116610.2227563011</v>
      </c>
      <c r="H81" s="14">
        <f>נתונים!B30*(1+נתונים!B31)^(B81-1)</f>
        <v>7320.0557252160006</v>
      </c>
      <c r="I81" s="14">
        <f>נתונים!B32*(1-נתונים!B33/12)*(1+נתונים!B31)^(B81-1)</f>
        <v>9443.3411198700014</v>
      </c>
      <c r="J81" s="10">
        <f t="shared" si="15"/>
        <v>7095.9088420000362</v>
      </c>
      <c r="K81" s="10">
        <f t="shared" si="19"/>
        <v>2123.2853946540008</v>
      </c>
      <c r="L81" s="10">
        <f>L80*(1+נתונים!B44)+J81</f>
        <v>1410325.8667295775</v>
      </c>
      <c r="M81" s="10">
        <f>M80*(1+נתונים!B44)+K81</f>
        <v>220730.19027199849</v>
      </c>
      <c r="N81" s="14">
        <f>F81-(נתונים!B4+נתונים!B21)</f>
        <v>290000</v>
      </c>
      <c r="O81" s="14">
        <f>MAX(0,N81)*נתונים!B36*(1-נתונים!B37)</f>
        <v>0</v>
      </c>
      <c r="P81" s="10">
        <f t="shared" si="16"/>
        <v>1116610.2227563011</v>
      </c>
      <c r="Q81" s="10">
        <f t="shared" si="17"/>
        <v>1337340.4130282996</v>
      </c>
      <c r="R81" s="10">
        <f t="shared" si="18"/>
        <v>1410325.8667295775</v>
      </c>
    </row>
    <row r="82" spans="1:18" x14ac:dyDescent="0.25">
      <c r="A82" s="4">
        <v>81</v>
      </c>
      <c r="B82" s="4">
        <f t="shared" si="13"/>
        <v>7</v>
      </c>
      <c r="C82" s="14">
        <f>נתונים!B43</f>
        <v>14165.964567216037</v>
      </c>
      <c r="D82" s="14">
        <f>נתונים!B27</f>
        <v>250</v>
      </c>
      <c r="E82" s="14">
        <f>INDEX(לוח_סילוקין!$F$2:$F$361,A82)</f>
        <v>2378757.3717854577</v>
      </c>
      <c r="F82" s="14">
        <f>נתונים!$B$5*(1+נתונים!$B$6)^(A82/12)</f>
        <v>3500000</v>
      </c>
      <c r="G82" s="10">
        <f t="shared" si="14"/>
        <v>1121242.6282145423</v>
      </c>
      <c r="H82" s="14">
        <f>נתונים!B30*(1+נתונים!B31)^(B82-1)</f>
        <v>7320.0557252160006</v>
      </c>
      <c r="I82" s="14">
        <f>נתונים!B32*(1-נתונים!B33/12)*(1+נתונים!B31)^(B82-1)</f>
        <v>9443.3411198700014</v>
      </c>
      <c r="J82" s="10">
        <f t="shared" si="15"/>
        <v>7095.9088420000362</v>
      </c>
      <c r="K82" s="10">
        <f t="shared" si="19"/>
        <v>2123.2853946540008</v>
      </c>
      <c r="L82" s="10">
        <f>L81*(1+נתונים!B44)+J82</f>
        <v>1428667.9120833946</v>
      </c>
      <c r="M82" s="10">
        <f>M81*(1+נתונים!B44)+K82</f>
        <v>224613.60920078005</v>
      </c>
      <c r="N82" s="14">
        <f>F82-(נתונים!B4+נתונים!B21)</f>
        <v>290000</v>
      </c>
      <c r="O82" s="14">
        <f>MAX(0,N82)*נתונים!B36*(1-נתונים!B37)</f>
        <v>0</v>
      </c>
      <c r="P82" s="10">
        <f t="shared" si="16"/>
        <v>1121242.6282145423</v>
      </c>
      <c r="Q82" s="10">
        <f t="shared" si="17"/>
        <v>1345856.2374153223</v>
      </c>
      <c r="R82" s="10">
        <f t="shared" si="18"/>
        <v>1428667.9120833946</v>
      </c>
    </row>
    <row r="83" spans="1:18" x14ac:dyDescent="0.25">
      <c r="A83" s="4">
        <v>82</v>
      </c>
      <c r="B83" s="4">
        <f t="shared" si="13"/>
        <v>7</v>
      </c>
      <c r="C83" s="14">
        <f>נתונים!B43</f>
        <v>14165.964567216037</v>
      </c>
      <c r="D83" s="14">
        <f>נתונים!B27</f>
        <v>250</v>
      </c>
      <c r="E83" s="14">
        <f>INDEX(לוח_סילוקין!$F$2:$F$361,A83)</f>
        <v>2374106.4367053835</v>
      </c>
      <c r="F83" s="14">
        <f>נתונים!$B$5*(1+נתונים!$B$6)^(A83/12)</f>
        <v>3500000</v>
      </c>
      <c r="G83" s="10">
        <f t="shared" si="14"/>
        <v>1125893.5632946165</v>
      </c>
      <c r="H83" s="14">
        <f>נתונים!B30*(1+נתונים!B31)^(B83-1)</f>
        <v>7320.0557252160006</v>
      </c>
      <c r="I83" s="14">
        <f>נתונים!B32*(1-נתונים!B33/12)*(1+נתונים!B31)^(B83-1)</f>
        <v>9443.3411198700014</v>
      </c>
      <c r="J83" s="10">
        <f t="shared" si="15"/>
        <v>7095.9088420000362</v>
      </c>
      <c r="K83" s="10">
        <f t="shared" si="19"/>
        <v>2123.2853946540008</v>
      </c>
      <c r="L83" s="10">
        <f>L82*(1+נתונים!B44)+J83</f>
        <v>1447156.2194826163</v>
      </c>
      <c r="M83" s="10">
        <f>M82*(1+נתונים!B44)+K83</f>
        <v>228527.99505744397</v>
      </c>
      <c r="N83" s="14">
        <f>F83-(נתונים!B4+נתונים!B21)</f>
        <v>290000</v>
      </c>
      <c r="O83" s="14">
        <f>MAX(0,N83)*נתונים!B36*(1-נתונים!B37)</f>
        <v>0</v>
      </c>
      <c r="P83" s="10">
        <f t="shared" si="16"/>
        <v>1125893.5632946165</v>
      </c>
      <c r="Q83" s="10">
        <f t="shared" si="17"/>
        <v>1354421.5583520606</v>
      </c>
      <c r="R83" s="10">
        <f t="shared" si="18"/>
        <v>1447156.2194826163</v>
      </c>
    </row>
    <row r="84" spans="1:18" x14ac:dyDescent="0.25">
      <c r="A84" s="4">
        <v>83</v>
      </c>
      <c r="B84" s="4">
        <f t="shared" si="13"/>
        <v>7</v>
      </c>
      <c r="C84" s="14">
        <f>נתונים!B43</f>
        <v>14165.964567216037</v>
      </c>
      <c r="D84" s="14">
        <f>נתונים!B27</f>
        <v>250</v>
      </c>
      <c r="E84" s="14">
        <f>INDEX(לוח_סילוקין!$F$2:$F$361,A84)</f>
        <v>2369436.8978849892</v>
      </c>
      <c r="F84" s="14">
        <f>נתונים!$B$5*(1+נתונים!$B$6)^(A84/12)</f>
        <v>3500000</v>
      </c>
      <c r="G84" s="10">
        <f t="shared" si="14"/>
        <v>1130563.1021150108</v>
      </c>
      <c r="H84" s="14">
        <f>נתונים!B30*(1+נתונים!B31)^(B84-1)</f>
        <v>7320.0557252160006</v>
      </c>
      <c r="I84" s="14">
        <f>נתונים!B32*(1-נתונים!B33/12)*(1+נתונים!B31)^(B84-1)</f>
        <v>9443.3411198700014</v>
      </c>
      <c r="J84" s="10">
        <f t="shared" si="15"/>
        <v>7095.9088420000362</v>
      </c>
      <c r="K84" s="10">
        <f t="shared" si="19"/>
        <v>2123.2853946540008</v>
      </c>
      <c r="L84" s="10">
        <f>L83*(1+נתונים!B44)+J84</f>
        <v>1465791.9552413321</v>
      </c>
      <c r="M84" s="10">
        <f>M83*(1+נתונים!B44)+K84</f>
        <v>232473.59477662185</v>
      </c>
      <c r="N84" s="14">
        <f>F84-(נתונים!B4+נתונים!B21)</f>
        <v>290000</v>
      </c>
      <c r="O84" s="14">
        <f>MAX(0,N84)*נתונים!B36*(1-נתונים!B37)</f>
        <v>0</v>
      </c>
      <c r="P84" s="10">
        <f t="shared" si="16"/>
        <v>1130563.1021150108</v>
      </c>
      <c r="Q84" s="10">
        <f t="shared" si="17"/>
        <v>1363036.6968916326</v>
      </c>
      <c r="R84" s="10">
        <f t="shared" si="18"/>
        <v>1465791.9552413321</v>
      </c>
    </row>
    <row r="85" spans="1:18" x14ac:dyDescent="0.25">
      <c r="A85" s="4">
        <v>84</v>
      </c>
      <c r="B85" s="4">
        <f t="shared" si="13"/>
        <v>7</v>
      </c>
      <c r="C85" s="14">
        <f>נתונים!B43</f>
        <v>14165.964567216037</v>
      </c>
      <c r="D85" s="14">
        <f>נתונים!B27</f>
        <v>250</v>
      </c>
      <c r="E85" s="14">
        <f>INDEX(לוח_סילוקין!$F$2:$F$361,A85)</f>
        <v>2364748.6809093133</v>
      </c>
      <c r="F85" s="14">
        <f>נתונים!$B$5*(1+נתונים!$B$6)^(A85/12)</f>
        <v>3500000</v>
      </c>
      <c r="G85" s="10">
        <f>F85-E85</f>
        <v>1135251.3190906867</v>
      </c>
      <c r="H85" s="14">
        <f>נתונים!B30*(1+נתונים!B31)^(B85-1)</f>
        <v>7320.0557252160006</v>
      </c>
      <c r="I85" s="14">
        <f>נתונים!B32*(1-נתונים!B33/12)*(1+נתונים!B31)^(B85-1)</f>
        <v>9443.3411198700014</v>
      </c>
      <c r="J85" s="10">
        <f t="shared" si="15"/>
        <v>7095.9088420000362</v>
      </c>
      <c r="K85" s="10">
        <f t="shared" si="19"/>
        <v>2123.2853946540008</v>
      </c>
      <c r="L85" s="10">
        <f>L84*(1+נתונים!B44)+J85</f>
        <v>1484576.2949739839</v>
      </c>
      <c r="M85" s="10">
        <f>M84*(1+נתונים!B44)+K85</f>
        <v>236450.65726203669</v>
      </c>
      <c r="N85" s="14">
        <f>F85-(נתונים!B4+נתונים!B21)</f>
        <v>290000</v>
      </c>
      <c r="O85" s="14">
        <f>MAX(0,N85)*נתונים!B36*(1-נתונים!B37)</f>
        <v>0</v>
      </c>
      <c r="P85" s="10">
        <f t="shared" si="16"/>
        <v>1135251.3190906867</v>
      </c>
      <c r="Q85" s="10">
        <f t="shared" si="17"/>
        <v>1371701.9763527233</v>
      </c>
      <c r="R85" s="10">
        <f t="shared" si="18"/>
        <v>1484576.2949739839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rightToLeft="1" topLeftCell="A8" zoomScaleNormal="100" workbookViewId="0">
      <selection activeCell="E22" sqref="E22"/>
    </sheetView>
  </sheetViews>
  <sheetFormatPr defaultColWidth="8.7109375" defaultRowHeight="15" x14ac:dyDescent="0.25"/>
  <cols>
    <col min="1" max="1" width="52.140625" bestFit="1" customWidth="1"/>
    <col min="2" max="2" width="23" bestFit="1" customWidth="1"/>
    <col min="3" max="3" width="16" bestFit="1" customWidth="1"/>
    <col min="4" max="4" width="17.85546875" bestFit="1" customWidth="1"/>
    <col min="5" max="6" width="11" bestFit="1" customWidth="1"/>
  </cols>
  <sheetData>
    <row r="1" spans="1:6" ht="18" x14ac:dyDescent="0.25">
      <c r="A1" s="2" t="s">
        <v>65</v>
      </c>
    </row>
    <row r="3" spans="1:6" x14ac:dyDescent="0.25">
      <c r="A3" s="9" t="s">
        <v>66</v>
      </c>
    </row>
    <row r="4" spans="1:6" ht="30" customHeight="1" x14ac:dyDescent="0.25">
      <c r="A4" s="1" t="s">
        <v>67</v>
      </c>
      <c r="B4" s="1"/>
      <c r="C4" s="1"/>
      <c r="D4" s="1"/>
      <c r="E4" s="1"/>
    </row>
    <row r="5" spans="1:6" ht="30" customHeight="1" x14ac:dyDescent="0.25">
      <c r="A5" s="1" t="s">
        <v>68</v>
      </c>
      <c r="B5" s="1"/>
      <c r="C5" s="1"/>
      <c r="D5" s="1"/>
      <c r="E5" s="1"/>
    </row>
    <row r="6" spans="1:6" ht="30" customHeight="1" x14ac:dyDescent="0.25">
      <c r="A6" s="1" t="s">
        <v>69</v>
      </c>
      <c r="B6" s="1"/>
      <c r="C6" s="1"/>
      <c r="D6" s="1"/>
      <c r="E6" s="1"/>
    </row>
    <row r="7" spans="1:6" ht="30" customHeight="1" x14ac:dyDescent="0.25">
      <c r="A7" s="1" t="s">
        <v>70</v>
      </c>
      <c r="B7" s="1"/>
      <c r="C7" s="1"/>
      <c r="D7" s="1"/>
      <c r="E7" s="1"/>
    </row>
    <row r="9" spans="1:6" ht="30" x14ac:dyDescent="0.25">
      <c r="A9" s="15" t="s">
        <v>48</v>
      </c>
      <c r="B9" s="15" t="s">
        <v>71</v>
      </c>
      <c r="C9" s="15" t="s">
        <v>72</v>
      </c>
      <c r="D9" s="15" t="s">
        <v>73</v>
      </c>
      <c r="E9" s="15" t="s">
        <v>80</v>
      </c>
      <c r="F9" s="15" t="s">
        <v>81</v>
      </c>
    </row>
    <row r="10" spans="1:6" x14ac:dyDescent="0.25">
      <c r="A10" s="16">
        <v>1</v>
      </c>
      <c r="B10" s="17">
        <f>השוואה_חודשית!P13</f>
        <v>841292.14496702282</v>
      </c>
      <c r="C10" s="17">
        <f>השוואה_חודשית!Q13</f>
        <v>864936.28170472849</v>
      </c>
      <c r="D10" s="17">
        <f>השוואה_חודשית!R13</f>
        <v>429270.44347655558</v>
      </c>
      <c r="E10" s="19">
        <f>B10-D10</f>
        <v>412021.70149046724</v>
      </c>
      <c r="F10" s="19">
        <f>C10-D10</f>
        <v>435665.83822817291</v>
      </c>
    </row>
    <row r="11" spans="1:6" x14ac:dyDescent="0.25">
      <c r="A11" s="16">
        <v>2</v>
      </c>
      <c r="B11" s="17">
        <f>השוואה_חודשית!P25</f>
        <v>884610.50405713543</v>
      </c>
      <c r="C11" s="17">
        <f>השוואה_חודשית!Q25</f>
        <v>934736.0739410714</v>
      </c>
      <c r="D11" s="17">
        <f>השוואה_חודשית!R25</f>
        <v>569837.66154117242</v>
      </c>
      <c r="E11" s="19">
        <f t="shared" ref="E11:E16" si="0">B11-D11</f>
        <v>314772.84251596301</v>
      </c>
      <c r="F11" s="19">
        <f t="shared" ref="F11:F16" si="1">C11-D11</f>
        <v>364898.41239989898</v>
      </c>
    </row>
    <row r="12" spans="1:6" x14ac:dyDescent="0.25">
      <c r="A12" s="16">
        <v>3</v>
      </c>
      <c r="B12" s="17">
        <f>השוואה_חודשית!P37</f>
        <v>930054.50401786668</v>
      </c>
      <c r="C12" s="17">
        <f>השוואה_חודשית!Q37</f>
        <v>1009791.9907521053</v>
      </c>
      <c r="D12" s="17">
        <f>השוואה_חודשית!R37</f>
        <v>722798.72625746462</v>
      </c>
      <c r="E12" s="19">
        <f t="shared" si="0"/>
        <v>207255.77776040207</v>
      </c>
      <c r="F12" s="19">
        <f t="shared" si="1"/>
        <v>286993.26449464064</v>
      </c>
    </row>
    <row r="13" spans="1:6" x14ac:dyDescent="0.25">
      <c r="A13" s="16">
        <v>4</v>
      </c>
      <c r="B13" s="17">
        <f>השוואה_חודשית!P49</f>
        <v>977728.45048788283</v>
      </c>
      <c r="C13" s="17">
        <f>השוואה_חודשית!Q49</f>
        <v>1090531.0329546924</v>
      </c>
      <c r="D13" s="17">
        <f>השוואה_חודשית!R49</f>
        <v>889359.76478750445</v>
      </c>
      <c r="E13" s="19">
        <f t="shared" si="0"/>
        <v>88368.685700378381</v>
      </c>
      <c r="F13" s="19">
        <f t="shared" si="1"/>
        <v>201171.26816718793</v>
      </c>
    </row>
    <row r="14" spans="1:6" x14ac:dyDescent="0.25">
      <c r="A14" s="16">
        <v>5</v>
      </c>
      <c r="B14" s="17">
        <f>השוואה_חודשית!P61</f>
        <v>1027741.7674051863</v>
      </c>
      <c r="C14" s="17">
        <f>השוואה_חודשית!Q61</f>
        <v>1177417.7821190068</v>
      </c>
      <c r="D14" s="17">
        <f>השוואה_חודשית!R61</f>
        <v>1070846.8518595088</v>
      </c>
      <c r="E14" s="19">
        <f t="shared" si="0"/>
        <v>-43105.084454322467</v>
      </c>
      <c r="F14" s="19">
        <f t="shared" si="1"/>
        <v>106570.93025949807</v>
      </c>
    </row>
    <row r="15" spans="1:6" x14ac:dyDescent="0.25">
      <c r="A15" s="16">
        <v>6</v>
      </c>
      <c r="B15" s="17">
        <f>השוואה_חודשית!P73</f>
        <v>1080209.2481631269</v>
      </c>
      <c r="C15" s="17">
        <f>השוואה_חודשית!Q73</f>
        <v>1270957.9018286662</v>
      </c>
      <c r="D15" s="17">
        <f>השוואה_חודשית!R73</f>
        <v>1268717.9912214517</v>
      </c>
      <c r="E15" s="19">
        <f t="shared" si="0"/>
        <v>-188508.74305832479</v>
      </c>
      <c r="F15" s="19">
        <f t="shared" si="1"/>
        <v>2239.9106072145514</v>
      </c>
    </row>
    <row r="16" spans="1:6" x14ac:dyDescent="0.25">
      <c r="A16" s="16">
        <v>7</v>
      </c>
      <c r="B16" s="17">
        <f>השוואה_חודשית!P85</f>
        <v>1135251.3190906867</v>
      </c>
      <c r="C16" s="17">
        <f>השוואה_חודשית!Q85</f>
        <v>1371701.9763527233</v>
      </c>
      <c r="D16" s="17">
        <f>השוואה_חודשית!R85</f>
        <v>1484576.2949739839</v>
      </c>
      <c r="E16" s="19">
        <f t="shared" si="0"/>
        <v>-349324.97588329716</v>
      </c>
      <c r="F16" s="19">
        <f t="shared" si="1"/>
        <v>-112874.31862126058</v>
      </c>
    </row>
    <row r="18" spans="1:4" x14ac:dyDescent="0.25">
      <c r="A18" s="3" t="s">
        <v>74</v>
      </c>
      <c r="B18" s="18"/>
    </row>
    <row r="19" spans="1:4" x14ac:dyDescent="0.25">
      <c r="A19" s="9" t="s">
        <v>75</v>
      </c>
      <c r="B19" s="10">
        <f>B16</f>
        <v>1135251.3190906867</v>
      </c>
      <c r="C19" s="10">
        <f>C16</f>
        <v>1371701.9763527233</v>
      </c>
      <c r="D19" s="10">
        <f>D16</f>
        <v>1484576.2949739839</v>
      </c>
    </row>
    <row r="20" spans="1:4" x14ac:dyDescent="0.25">
      <c r="A20" s="9" t="s">
        <v>76</v>
      </c>
      <c r="B20" s="10">
        <f>C16-B16</f>
        <v>236450.65726203658</v>
      </c>
    </row>
    <row r="21" spans="1:4" x14ac:dyDescent="0.25">
      <c r="A21" s="9" t="s">
        <v>77</v>
      </c>
      <c r="B21" s="10">
        <f>D16-B16</f>
        <v>349324.97588329716</v>
      </c>
    </row>
    <row r="22" spans="1:4" x14ac:dyDescent="0.25">
      <c r="A22" s="9" t="s">
        <v>78</v>
      </c>
      <c r="B22" s="4" t="str">
        <f>IF(AND(B16&gt;=C16,B16&gt;=D16),"מסלול A - גר בדירה",IF(AND(C16&gt;=B16,C16&gt;=D16),"מסלול B - משכיר","מסלול C - לא קונה (S&amp;P)"))</f>
        <v>מסלול C - לא קונה (S&amp;P)</v>
      </c>
    </row>
    <row r="24" spans="1:4" x14ac:dyDescent="0.25">
      <c r="A24" s="9" t="s">
        <v>79</v>
      </c>
      <c r="B24" s="4">
        <f>IFERROR(INDEX(A10:A16,MATCH(TRUE(),INDEX(D10:D16&gt;B10:B16,0),0)),"לא קורה בטווח שנבדק")</f>
        <v>5</v>
      </c>
    </row>
  </sheetData>
  <mergeCells count="4">
    <mergeCell ref="A4:E4"/>
    <mergeCell ref="A5:E5"/>
    <mergeCell ref="A6:E6"/>
    <mergeCell ref="A7:E7"/>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נתונים</vt:lpstr>
      <vt:lpstr>לוח_סילוקין</vt:lpstr>
      <vt:lpstr>השוואה_חודשית</vt:lpstr>
      <vt:lpstr>דשבורד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נעם בריר</cp:lastModifiedBy>
  <cp:revision>1</cp:revision>
  <dcterms:created xsi:type="dcterms:W3CDTF">2026-06-13T20:02:11Z</dcterms:created>
  <dcterms:modified xsi:type="dcterms:W3CDTF">2026-06-14T19:51:38Z</dcterms:modified>
  <dc:language>en-US</dc:language>
</cp:coreProperties>
</file>